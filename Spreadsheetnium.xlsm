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/>
  </bookViews>
  <sheets>
    <sheet name="sample_commandReference" sheetId="16" r:id="rId1"/>
    <sheet name="template" sheetId="4" r:id="rId2"/>
    <sheet name="BATCH" sheetId="20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0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0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0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0">sample_commandReference!$B$10</definedName>
    <definedName name="baseURL" localSheetId="4">UPDATES!$B$10</definedName>
    <definedName name="baseURL">template!$B$10</definedName>
    <definedName name="batchTarget" localSheetId="2">batchRunTBL[[#Headers],[run target]]</definedName>
    <definedName name="Command" localSheetId="3">TestScriptTable3[[#Headers],[Command]]</definedName>
    <definedName name="Command" localSheetId="0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2">BATCH!$B$9</definedName>
    <definedName name="DeleteCookie" localSheetId="3">REPORT_RESULTS!$B$14</definedName>
    <definedName name="DeleteCookie" localSheetId="0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0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0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0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2">BATCH!$E$11</definedName>
    <definedName name="Failed" localSheetId="3">REPORT_RESULTS!$E$11</definedName>
    <definedName name="Failed" localSheetId="0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0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0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0">TestScriptTable9[[#Headers],[Memo]]</definedName>
    <definedName name="Memo" localSheetId="4">TestScriptTable12[[#Headers],[Memo]]</definedName>
    <definedName name="Memo">TestScriptTable[[#Headers],[Memo]]</definedName>
    <definedName name="NotTested" localSheetId="2">BATCH!$E$9</definedName>
    <definedName name="NotTested" localSheetId="3">REPORT_RESULTS!$E$9</definedName>
    <definedName name="NotTested" localSheetId="0">sample_commandReference!$E$9</definedName>
    <definedName name="NotTested" localSheetId="4">UPDATES!$E$9</definedName>
    <definedName name="NotTested">template!$E$9</definedName>
    <definedName name="Passed" localSheetId="2">BATCH!$E$10</definedName>
    <definedName name="Passed" localSheetId="3">REPORT_RESULTS!$E$10</definedName>
    <definedName name="Passed" localSheetId="0">sample_commandReference!$E$10</definedName>
    <definedName name="Passed" localSheetId="4">UPDATES!$E$10</definedName>
    <definedName name="Passed">template!$E$10</definedName>
    <definedName name="Progressrate" localSheetId="2">BATCH!$E$14</definedName>
    <definedName name="Progressrate" localSheetId="3">REPORT_RESULTS!$E$14</definedName>
    <definedName name="Progressrate" localSheetId="0">sample_commandReference!$E$14</definedName>
    <definedName name="Progressrate" localSheetId="4">UPDATES!$E$14</definedName>
    <definedName name="Progressrate">template!$E$14</definedName>
    <definedName name="ReportResults" localSheetId="2">BATCH!$B$10</definedName>
    <definedName name="ReportResults" localSheetId="3">REPORT_RESULTS!$B$15</definedName>
    <definedName name="ReportResults" localSheetId="0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0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2">batchRunTBL[[#Headers],[run target]]</definedName>
    <definedName name="runTarget" localSheetId="3">TestScriptTable3[[#Headers],[runTarget]]</definedName>
    <definedName name="runTarget" localSheetId="0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0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0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2">batchRunTBL[[#Headers],[SheetName]]</definedName>
    <definedName name="Skipped" localSheetId="2">BATCH!$E$12</definedName>
    <definedName name="Skipped" localSheetId="3">REPORT_RESULTS!$E$12</definedName>
    <definedName name="Skipped" localSheetId="0">sample_commandReference!$E$12</definedName>
    <definedName name="Skipped" localSheetId="4">UPDATES!$E$12</definedName>
    <definedName name="Skipped">template!$E$12</definedName>
    <definedName name="status" localSheetId="2">batchRunTBL[[#Headers],[Status]]</definedName>
    <definedName name="StatusButton">"四角形: 角を丸くする 1"</definedName>
    <definedName name="targetBrowser" localSheetId="3">REPORT_RESULTS!$B$9</definedName>
    <definedName name="targetBrowser" localSheetId="0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0">sample_commandReference!$A$17</definedName>
    <definedName name="TestScriptLabel" localSheetId="4">UPDATES!$A$17</definedName>
    <definedName name="TestScriptLabel">template!$A$17</definedName>
    <definedName name="testTitle" localSheetId="2">BATCH!$A$1</definedName>
    <definedName name="testTitle" localSheetId="3">REPORT_RESULTS!$A$1</definedName>
    <definedName name="testTitle" localSheetId="0">sample_commandReference!$A$1</definedName>
    <definedName name="testTitle" localSheetId="4">UPDATES!$A$1</definedName>
    <definedName name="testTitle">template!$A$1</definedName>
    <definedName name="Total" localSheetId="2">BATCH!$E$13</definedName>
    <definedName name="Total" localSheetId="3">REPORT_RESULTS!$E$13</definedName>
    <definedName name="Total" localSheetId="0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0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0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0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0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0">sample_commandReference!$B$11</definedName>
    <definedName name="windowSizeW" localSheetId="4">UPDATES!$B$11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<sst xmlns="http://schemas.openxmlformats.org/spreadsheetml/2006/main" count="856" uniqueCount="324">
  <si>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</si>
  <si>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</si>
  <si>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</si>
  <si>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</si>
  <si>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</si>
  <si>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</si>
  <si>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</si>
  <si>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</si>
  <si>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</si>
  <si>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</si>
  <si>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</si>
  <si>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</si>
  <si>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</si>
  <si>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</si>
  <si>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</si>
  <si>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</si>
  <si>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</si>
  <si>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</si>
  <si>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</si>
  <si>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</si>
  <si>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</si>
  <si>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</si>
  <si>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</si>
  <si>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</si>
  <si>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</si>
  <si>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</si>
  <si>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</si>
  <si>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</si>
  <si>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</si>
  <si>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</si>
  <si>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</si>
  <si>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</si>
  <si>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</si>
  <si>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</si>
  <si>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</si>
  <si>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</si>
  <si>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</si>
  <si>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</si>
  <si>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</si>
  <si>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</si>
  <si>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</si>
  <si>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</si>
  <si>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</si>
  <si>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</si>
  <si>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</si>
  <si>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</si>
  <si>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</si>
  <si>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</si>
  <si>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</si>
  <si>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</si>
  <si>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</si>
  <si>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</si>
  <si>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</si>
  <si>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</si>
  <si>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</si>
  <si>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</si>
  <si>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</si>
  <si>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</si>
  <si>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</si>
  <si>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</si>
  <si>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</si>
  <si>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</si>
  <si>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</si>
  <si>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</si>
  <si>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</si>
  <si>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</si>
  <si>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</si>
  <si>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</si>
  <si>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</si>
  <si>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</si>
  <si>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</si>
  <si>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</si>
  <si>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</si>
  <si>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</si>
  <si>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</si>
  <si>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</si>
  <si>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</si>
  <si>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</si>
  <si>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</si>
  <si>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</si>
  <si>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</si>
  <si>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</si>
  <si>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</si>
  <si>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</si>
  <si>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</si>
  <si>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</si>
  <si>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</si>
  <si>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</si>
  <si>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</si>
  <si>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</si>
  <si>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</si>
  <si>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</si>
  <si>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</si>
  <si>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</si>
  <si>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</si>
  <si>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</si>
  <si>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</si>
  <si>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</si>
  <si>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</si>
  <si>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</si>
  <si>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</si>
  <si>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</si>
  <si>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</si>
  <si>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</si>
  <si>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</si>
  <si>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</si>
  <si>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</si>
  <si>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</si>
  <si>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</si>
  <si>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</si>
  <si>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</si>
  <si>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</si>
  <si>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</si>
  <si>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</si>
  <si>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</si>
  <si>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</si>
  <si>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</si>
  <si>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</si>
  <si>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</si>
  <si>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</si>
  <si>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</si>
  <si>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</si>
  <si>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</si>
  <si>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</si>
  <si>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</si>
  <si>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</si>
  <si>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</si>
  <si>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</si>
  <si>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</si>
  <si>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</si>
  <si>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</si>
  <si>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</si>
  <si>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</si>
  <si>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</si>
  <si>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</si>
  <si>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</si>
  <si>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</si>
  <si>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</si>
  <si>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</si>
  <si>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</si>
  <si>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</si>
  <si>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</si>
  <si>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</si>
  <si>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</si>
  <si>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</si>
  <si>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</si>
  <si>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</si>
  <si>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</si>
  <si>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</si>
  <si>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</si>
  <si>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</si>
  <si>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</si>
  <si>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</si>
  <si>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</si>
  <si>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</si>
  <si>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</si>
  <si>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</si>
  <si>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</si>
  <si>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</si>
  <si>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</si>
  <si>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</si>
  <si>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</si>
  <si>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</si>
  <si>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</si>
  <si>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</si>
  <si>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</si>
  <si>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</si>
  <si>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</si>
  <si>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</si>
  <si>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</si>
  <si>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</si>
  <si>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</si>
  <si>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</si>
  <si>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</si>
  <si>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</si>
  <si>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</si>
  <si>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</si>
  <si>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</si>
  <si>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</si>
  <si>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</si>
  <si>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</si>
  <si>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</si>
  <si>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</si>
  <si>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</si>
  <si>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</si>
  <si>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</si>
  <si>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</si>
  <si>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</si>
  <si>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</si>
  <si>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</si>
  <si>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</si>
  <si>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</si>
  <si>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</si>
  <si>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</si>
  <si>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</si>
  <si>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</si>
  <si>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</si>
  <si>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</si>
  <si>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</si>
  <si>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</si>
  <si>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</si>
  <si>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</si>
  <si>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</si>
  <si>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</si>
  <si>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</si>
  <si>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</si>
  <si>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</si>
  <si>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</si>
  <si>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</si>
  <si>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</si>
  <si>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</si>
  <si>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</si>
  <si>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</si>
  <si>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</si>
  <si>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</si>
  <si>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</si>
  <si>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</si>
  <si>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</si>
  <si>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</si>
  <si>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</si>
  <si>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</si>
  <si>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</si>
  <si>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</si>
  <si>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</si>
  <si>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</si>
  <si>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</si>
  <si>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</si>
  <si>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</si>
  <si>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</si>
  <si>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check latest release</t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</si>
  <si>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</si>
  <si>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</si>
  <si>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</si>
  <si>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</si>
  <si>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</si>
  <si>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</si>
  <si>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</si>
  <si>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</si>
  <si>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</si>
  <si>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</si>
  <si>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</si>
  <si>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</si>
  <si>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</si>
  <si>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</si>
  <si>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</si>
  <si>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</si>
  <si>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</si>
  <si>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</si>
  <si>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</si>
  <si>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</si>
  <si>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</si>
  <si>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</si>
  <si>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</si>
  <si>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</si>
  <si>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</si>
  <si>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</si>
  <si>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</si>
  <si>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</si>
  <si>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</si>
  <si>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</si>
  <si>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</si>
  <si>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</si>
  <si>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</si>
  <si>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</si>
  <si>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</si>
  <si>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</si>
  <si>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</si>
  <si>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</si>
  <si>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</si>
  <si>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</si>
  <si>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</si>
  <si>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</si>
  <si>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</si>
  <si>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</si>
  <si>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</si>
  <si>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</si>
  <si>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</si>
  <si>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sample_commandReference</t>
  </si>
  <si>
    <t>template</t>
  </si>
  <si>
    <t>c:\temp\SpreadSheetnium\sample</t>
    <phoneticPr fontId="1"/>
  </si>
  <si>
    <t>Ready to run</t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</si>
  <si>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</si>
  <si>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</si>
  <si>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</si>
  <si>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</si>
  <si>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</si>
  <si>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</si>
  <si>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</si>
  <si>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</si>
  <si>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</si>
  <si>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</si>
  <si>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</si>
  <si>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</si>
  <si>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Script46</t>
  </si>
  <si>
    <t>Script47</t>
  </si>
  <si>
    <t>Script48</t>
  </si>
  <si>
    <t>Script49</t>
  </si>
  <si>
    <t>/rpWYnc</t>
  </si>
  <si>
    <t>v0.0.7</t>
  </si>
  <si>
    <t>(option)SeleniumBasic</t>
  </si>
  <si>
    <t>/ykaeVY</t>
  </si>
  <si>
    <t>SeleniumBasic v2.0.9.0</t>
  </si>
  <si>
    <t>(option)Chrome driver</t>
  </si>
  <si>
    <t>/fVkDfp</t>
  </si>
  <si>
    <t>div#sites-canvas-main-content h2 &gt; a:nth-child(2)</t>
  </si>
  <si>
    <t>ChromeDriver 2.27</t>
  </si>
  <si>
    <t>/ucUl9W</t>
    <phoneticPr fontId="1"/>
  </si>
  <si>
    <t>(option)Edge driver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</si>
  <si>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</si>
  <si>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</si>
  <si>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</si>
  <si>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</si>
  <si>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</si>
  <si>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</si>
  <si>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</si>
  <si>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</si>
  <si>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 xml:space="preserve">/**************************/_x000D_
Spreadsheetnium TEST RESULT_x000D_
/**************************/_x000D_
Test title : Spreadsheetnium command reference_x000D_
sheet name : sample_commandReference_x000D_
_x000D_
Browser : PhantomJS_x000D_
baseurl : http://automationpractice.com_x000D_
window Width : 1366_x000D_
window Height : 768_x000D_
ScreenShot : c:\temp\SpreadSheetnium\sample_x000D_
_x000D_
/**************************/_x000D_
Not tested : 0_x000D_
Passed : 48_x000D_
Failed: 1_x000D_
Skipped : 1_x000D_
Total : 50_x000D_
Progress rate : 100%_x000D_
/**************************/_x000D_
_x000D_
_x000D_
_x000D_
https://ssugiya.github.io/Spreadsheetnium/_x000D_
</t>
    <phoneticPr fontId="1"/>
  </si>
  <si>
    <t>target application</t>
    <phoneticPr fontId="1"/>
  </si>
  <si>
    <t>Spreadsheetnium</t>
    <phoneticPr fontId="1"/>
  </si>
  <si>
    <t>Please download latest files from GitHub if you failed this script.</t>
  </si>
  <si>
    <t>You can insert any columns</t>
  </si>
  <si>
    <t>Edge 14</t>
    <phoneticPr fontId="1"/>
  </si>
  <si>
    <t>Edge 13</t>
    <phoneticPr fontId="1"/>
  </si>
  <si>
    <t>Edge 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</si>
</sst>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>
      <alignment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13" fillId="0" borderId="0" xfId="0" applyFont="1" applyFill="1">
      <alignment vertical="center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absolute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=""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=""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23531</xdr:colOff>
      <xdr:row>7</xdr:row>
      <xdr:rowOff>148287</xdr:rowOff>
    </xdr:from>
    <xdr:to>
      <xdr:col>9</xdr:col>
      <xdr:colOff>607919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23531</xdr:colOff>
      <xdr:row>10</xdr:row>
      <xdr:rowOff>115230</xdr:rowOff>
    </xdr:from>
    <xdr:to>
      <xdr:col>9</xdr:col>
      <xdr:colOff>607919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8" totalsRowShown="0" headerRowDxfId="127" dataDxfId="126" tableBorderDxfId="125">
  <autoFilter ref="A19:P68"/>
  <tableColumns count="16">
    <tableColumn id="1" name="runTarget" dataDxfId="124"/>
    <tableColumn id="2" name="Description" dataDxfId="123"/>
    <tableColumn id="17" name="scriptID" dataDxfId="122"/>
    <tableColumn id="3" name="Command" dataDxfId="121"/>
    <tableColumn id="4" name="FindMethod" dataDxfId="120"/>
    <tableColumn id="5" name="ActionTarget" dataDxfId="119"/>
    <tableColumn id="6" name="ActionValue" dataDxfId="118"/>
    <tableColumn id="7" name="VerificationCommand" dataDxfId="117"/>
    <tableColumn id="8" name="Verificationmethod" dataDxfId="116"/>
    <tableColumn id="9" name="VerificationTarget" dataDxfId="115"/>
    <tableColumn id="10" name="ExpectedResult" dataDxfId="114"/>
    <tableColumn id="11" name="ActualResult" dataDxfId="113"/>
    <tableColumn id="12" name="Result" dataDxfId="112"/>
    <tableColumn id="13" name="LastUpdate" dataDxfId="111"/>
    <tableColumn id="14" name="ErrorMessage" dataDxfId="110"/>
    <tableColumn id="15" name="Memo" dataDxfId="10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5" totalsRowShown="0" headerRowDxfId="108" dataDxfId="107">
  <autoFilter ref="A8:B15"/>
  <tableColumns count="2">
    <tableColumn id="1" name="Key" dataDxfId="106"/>
    <tableColumn id="2" name="Value" dataDxfId="10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0" name="ResultsSummaryTable11" displayName="ResultsSummaryTable11" ref="D8:E14" totalsRowShown="0" headerRowDxfId="104" dataDxfId="103">
  <autoFilter ref="D8:E14"/>
  <tableColumns count="2">
    <tableColumn id="1" name="Status" dataDxfId="102"/>
    <tableColumn id="2" name="Count" dataDxfId="101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100" dataDxfId="99" tableBorderDxfId="98">
  <autoFilter ref="A19:P29"/>
  <tableColumns count="16">
    <tableColumn id="1" name="runTarget" dataDxfId="97"/>
    <tableColumn id="2" name="Description" dataDxfId="96"/>
    <tableColumn id="17" name="scriptID" dataDxfId="95"/>
    <tableColumn id="3" name="Command" dataDxfId="94"/>
    <tableColumn id="4" name="FindMethod" dataDxfId="93"/>
    <tableColumn id="5" name="ActionTarget" dataDxfId="92"/>
    <tableColumn id="6" name="ActionValue" dataDxfId="91"/>
    <tableColumn id="7" name="VerificationCommand" dataDxfId="90"/>
    <tableColumn id="8" name="Verificationmethod" dataDxfId="89"/>
    <tableColumn id="9" name="VerificationTarget" dataDxfId="88"/>
    <tableColumn id="10" name="ExpectedResult" dataDxfId="87"/>
    <tableColumn id="11" name="ActualResult" dataDxfId="86"/>
    <tableColumn id="12" name="Result" dataDxfId="85"/>
    <tableColumn id="13" name="LastUpdate" dataDxfId="84"/>
    <tableColumn id="14" name="ErrorMessage" dataDxfId="83"/>
    <tableColumn id="15" name="Memo" dataDxfId="82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5" totalsRowShown="0" headerRowDxfId="81" dataDxfId="80">
  <autoFilter ref="A8:B15"/>
  <tableColumns count="2">
    <tableColumn id="1" name="Key" dataDxfId="79"/>
    <tableColumn id="2" name="Value" dataDxfId="7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77" dataDxfId="76">
  <autoFilter ref="D8:E14"/>
  <tableColumns count="2">
    <tableColumn id="1" name="Status" dataDxfId="75"/>
    <tableColumn id="2" name="Count" dataDxfId="74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6" name="SettingsTable17" displayName="SettingsTable17" ref="A8:B10" totalsRowShown="0" headerRowDxfId="73" dataDxfId="72">
  <autoFilter ref="A8:B10"/>
  <tableColumns count="2">
    <tableColumn id="1" name="Key" dataDxfId="71"/>
    <tableColumn id="2" name="Value" dataDxfId="70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17" name="ResultsSummaryTable18" displayName="ResultsSummaryTable18" ref="D8:E14" totalsRowShown="0" headerRowDxfId="69" dataDxfId="68">
  <autoFilter ref="D8:E14"/>
  <tableColumns count="2">
    <tableColumn id="1" name="Status" dataDxfId="67"/>
    <tableColumn id="2" name="Count" dataDxfId="66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batchRunTBL" displayName="batchRunTBL" ref="A19:I21" totalsRowShown="0" headerRowDxfId="65" dataDxfId="64">
  <autoFilter ref="A19:I21"/>
  <tableColumns count="9">
    <tableColumn id="1" name="run target" dataDxfId="63"/>
    <tableColumn id="2" name="SheetName" dataDxfId="62"/>
    <tableColumn id="3" name="Not Tested" dataDxfId="61"/>
    <tableColumn id="4" name="Passed" dataDxfId="60"/>
    <tableColumn id="5" name="Failed" dataDxfId="59"/>
    <tableColumn id="6" name="Skipped" dataDxfId="58"/>
    <tableColumn id="7" name="Total" dataDxfId="57"/>
    <tableColumn id="8" name="Status" dataDxfId="56"/>
    <tableColumn id="9" name="Lastupdate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16" name="target application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48"/>
  <sheetViews>
    <sheetView tabSelected="1"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4" customFormat="1" ht="31.5">
      <c r="A1" s="33" t="s">
        <v>259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256</v>
      </c>
      <c r="D9" s="5" t="s">
        <v>73</v>
      </c>
      <c r="E9" s="19">
        <f>E13-SUM(E10:E12)</f>
        <v>49</v>
      </c>
      <c r="L9" s="61"/>
      <c r="M9" s="61"/>
      <c r="N9" s="61"/>
      <c r="O9" s="61"/>
      <c r="P9" s="61"/>
    </row>
    <row r="10" spans="1:16">
      <c r="A10" s="5" t="s">
        <v>11</v>
      </c>
      <c r="B10" s="60" t="s">
        <v>47</v>
      </c>
      <c r="D10" s="5" t="s">
        <v>4</v>
      </c>
      <c r="E10" s="21">
        <f>COUNTIF(TestScriptTable9[Result],"Passed")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279</v>
      </c>
      <c r="D13" s="5" t="s">
        <v>6</v>
      </c>
      <c r="E13" s="6">
        <f>COUNTA(TestScriptTable9[runTarget])+COUNTBLANK(TestScriptTable9[runTarget])</f>
        <v>49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240</v>
      </c>
      <c r="B15" s="1" t="s">
        <v>76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">
        <v>122</v>
      </c>
      <c r="D20" s="4" t="s">
        <v>37</v>
      </c>
      <c r="E20" s="4"/>
      <c r="F20" s="4" t="s">
        <v>123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124</v>
      </c>
      <c r="C21" s="1" t="s">
        <v>125</v>
      </c>
      <c r="D21" s="4" t="s">
        <v>39</v>
      </c>
      <c r="E21" s="4" t="s">
        <v>49</v>
      </c>
      <c r="F21" s="4" t="s">
        <v>126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124</v>
      </c>
      <c r="C22" s="1" t="s">
        <v>127</v>
      </c>
      <c r="D22" s="4" t="s">
        <v>39</v>
      </c>
      <c r="E22" s="4" t="s">
        <v>31</v>
      </c>
      <c r="F22" s="4" t="s">
        <v>128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124</v>
      </c>
      <c r="C23" s="1" t="s">
        <v>129</v>
      </c>
      <c r="D23" s="4" t="s">
        <v>39</v>
      </c>
      <c r="E23" s="4" t="s">
        <v>52</v>
      </c>
      <c r="F23" s="4" t="s">
        <v>130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124</v>
      </c>
      <c r="C24" s="1" t="s">
        <v>131</v>
      </c>
      <c r="D24" s="4" t="s">
        <v>39</v>
      </c>
      <c r="E24" s="4" t="s">
        <v>315</v>
      </c>
      <c r="F24" s="4" t="s">
        <v>132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124</v>
      </c>
      <c r="C25" s="1" t="s">
        <v>133</v>
      </c>
      <c r="D25" s="4" t="s">
        <v>39</v>
      </c>
      <c r="E25" s="4" t="s">
        <v>72</v>
      </c>
      <c r="F25" s="4" t="s">
        <v>134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135</v>
      </c>
      <c r="C26" s="1" t="s">
        <v>136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">
        <v>137</v>
      </c>
      <c r="D27" s="4" t="s">
        <v>37</v>
      </c>
      <c r="E27" s="4"/>
      <c r="F27" s="4" t="s">
        <v>123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138</v>
      </c>
      <c r="C28" s="1" t="s">
        <v>139</v>
      </c>
      <c r="D28" s="4" t="s">
        <v>54</v>
      </c>
      <c r="E28" s="4" t="s">
        <v>49</v>
      </c>
      <c r="F28" s="4" t="s">
        <v>140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138</v>
      </c>
      <c r="C29" s="1" t="s">
        <v>141</v>
      </c>
      <c r="D29" s="4" t="s">
        <v>54</v>
      </c>
      <c r="E29" s="4" t="s">
        <v>31</v>
      </c>
      <c r="F29" s="4" t="s">
        <v>142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138</v>
      </c>
      <c r="C30" s="1" t="s">
        <v>143</v>
      </c>
      <c r="D30" s="4" t="s">
        <v>54</v>
      </c>
      <c r="E30" s="4" t="s">
        <v>82</v>
      </c>
      <c r="F30" s="4" t="s">
        <v>144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138</v>
      </c>
      <c r="C31" s="1" t="s">
        <v>145</v>
      </c>
      <c r="D31" s="4" t="s">
        <v>54</v>
      </c>
      <c r="E31" s="4" t="s">
        <v>72</v>
      </c>
      <c r="F31" s="4" t="s">
        <v>134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146</v>
      </c>
      <c r="C32" s="1" t="s">
        <v>147</v>
      </c>
      <c r="D32" s="4" t="s">
        <v>70</v>
      </c>
      <c r="E32" s="4" t="s">
        <v>49</v>
      </c>
      <c r="F32" s="4" t="s">
        <v>148</v>
      </c>
      <c r="G32" s="4" t="s">
        <v>149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>
      <c r="A33" s="23" t="s">
        <v>76</v>
      </c>
      <c r="B33" s="1" t="s">
        <v>146</v>
      </c>
      <c r="C33" s="1" t="s">
        <v>150</v>
      </c>
      <c r="D33" s="4" t="s">
        <v>70</v>
      </c>
      <c r="E33" s="4" t="s">
        <v>31</v>
      </c>
      <c r="F33" s="4" t="s">
        <v>151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>
      <c r="A34" s="23" t="s">
        <v>76</v>
      </c>
      <c r="B34" s="1" t="s">
        <v>146</v>
      </c>
      <c r="C34" s="1" t="s">
        <v>152</v>
      </c>
      <c r="D34" s="4" t="s">
        <v>70</v>
      </c>
      <c r="E34" s="4" t="s">
        <v>82</v>
      </c>
      <c r="F34" s="4" t="s">
        <v>153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>
      <c r="A35" s="23" t="s">
        <v>76</v>
      </c>
      <c r="B35" s="1" t="s">
        <v>146</v>
      </c>
      <c r="C35" s="1" t="s">
        <v>154</v>
      </c>
      <c r="D35" s="4" t="s">
        <v>70</v>
      </c>
      <c r="E35" s="4" t="s">
        <v>72</v>
      </c>
      <c r="F35" s="4" t="s">
        <v>155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>
      <c r="A36" s="23" t="s">
        <v>76</v>
      </c>
      <c r="B36" s="1" t="s">
        <v>121</v>
      </c>
      <c r="C36" s="1" t="s">
        <v>156</v>
      </c>
      <c r="D36" s="4" t="s">
        <v>37</v>
      </c>
      <c r="E36" s="4"/>
      <c r="F36" s="4" t="s">
        <v>157</v>
      </c>
      <c r="G36" s="4"/>
      <c r="H36" s="4" t="s">
        <v>42</v>
      </c>
      <c r="I36" s="4"/>
      <c r="J36" s="4"/>
      <c r="K36" s="4" t="s">
        <v>158</v>
      </c>
      <c r="L36" s="4"/>
      <c r="M36"/>
      <c r="N36" s="3"/>
      <c r="O36" s="4"/>
    </row>
    <row r="37" spans="1:15" ht="21.75" customHeight="1">
      <c r="A37" s="23" t="s">
        <v>76</v>
      </c>
      <c r="B37" s="1" t="s">
        <v>146</v>
      </c>
      <c r="C37" s="1" t="s">
        <v>159</v>
      </c>
      <c r="D37" s="4" t="s">
        <v>70</v>
      </c>
      <c r="E37" s="4" t="s">
        <v>49</v>
      </c>
      <c r="F37" s="4" t="s">
        <v>160</v>
      </c>
      <c r="G37" s="4" t="s">
        <v>161</v>
      </c>
      <c r="H37" s="4" t="s">
        <v>42</v>
      </c>
      <c r="I37" s="4"/>
      <c r="J37" s="4"/>
      <c r="K37" s="4" t="s">
        <v>158</v>
      </c>
      <c r="L37" s="4"/>
      <c r="M37"/>
      <c r="N37" s="3"/>
      <c r="O37" s="4"/>
    </row>
    <row r="38" spans="1:15" ht="21.75" customHeight="1">
      <c r="A38" s="23" t="s">
        <v>76</v>
      </c>
      <c r="B38" s="1" t="s">
        <v>146</v>
      </c>
      <c r="C38" s="1" t="s">
        <v>162</v>
      </c>
      <c r="D38" s="4" t="s">
        <v>39</v>
      </c>
      <c r="E38" s="4" t="s">
        <v>49</v>
      </c>
      <c r="F38" s="4" t="s">
        <v>163</v>
      </c>
      <c r="G38" s="4"/>
      <c r="H38" s="4" t="s">
        <v>42</v>
      </c>
      <c r="I38" s="4"/>
      <c r="J38" s="4"/>
      <c r="K38" s="4" t="s">
        <v>158</v>
      </c>
      <c r="L38" s="4"/>
      <c r="M38"/>
      <c r="N38" s="3"/>
      <c r="O38" s="4"/>
    </row>
    <row r="39" spans="1:15" ht="21.75" customHeight="1">
      <c r="A39" s="23" t="s">
        <v>76</v>
      </c>
      <c r="B39" s="1" t="s">
        <v>164</v>
      </c>
      <c r="C39" s="1" t="s">
        <v>165</v>
      </c>
      <c r="D39" s="4" t="s">
        <v>83</v>
      </c>
      <c r="E39" s="4" t="s">
        <v>49</v>
      </c>
      <c r="F39" s="4" t="s">
        <v>166</v>
      </c>
      <c r="G39" s="4"/>
      <c r="H39" s="4" t="s">
        <v>42</v>
      </c>
      <c r="I39" s="4"/>
      <c r="J39" s="4"/>
      <c r="K39" s="4" t="s">
        <v>158</v>
      </c>
      <c r="L39" s="4"/>
      <c r="M39"/>
      <c r="N39" s="3"/>
      <c r="O39" s="4"/>
    </row>
    <row r="40" spans="1:15" ht="21.75" customHeight="1">
      <c r="A40" s="23" t="s">
        <v>76</v>
      </c>
      <c r="B40" s="1" t="s">
        <v>164</v>
      </c>
      <c r="C40" s="1" t="s">
        <v>167</v>
      </c>
      <c r="D40" s="4" t="s">
        <v>83</v>
      </c>
      <c r="E40" s="4" t="s">
        <v>31</v>
      </c>
      <c r="F40" s="4" t="s">
        <v>168</v>
      </c>
      <c r="G40" s="4"/>
      <c r="H40" s="4" t="s">
        <v>42</v>
      </c>
      <c r="I40" s="4"/>
      <c r="J40" s="4"/>
      <c r="K40" s="4" t="s">
        <v>158</v>
      </c>
      <c r="L40" s="4"/>
      <c r="M40"/>
      <c r="N40" s="3"/>
      <c r="O40" s="4"/>
    </row>
    <row r="41" spans="1:15" ht="21.75" customHeight="1">
      <c r="A41" s="23" t="s">
        <v>76</v>
      </c>
      <c r="B41" s="1" t="s">
        <v>164</v>
      </c>
      <c r="C41" s="1" t="s">
        <v>169</v>
      </c>
      <c r="D41" s="4" t="s">
        <v>83</v>
      </c>
      <c r="E41" s="4" t="s">
        <v>82</v>
      </c>
      <c r="F41" s="4" t="s">
        <v>170</v>
      </c>
      <c r="G41" s="4">
        <v>2</v>
      </c>
      <c r="H41" s="4" t="s">
        <v>42</v>
      </c>
      <c r="I41" s="4"/>
      <c r="J41" s="4"/>
      <c r="K41" s="4" t="s">
        <v>158</v>
      </c>
      <c r="L41" s="4"/>
      <c r="M41"/>
      <c r="N41" s="3"/>
      <c r="O41" s="4"/>
    </row>
    <row r="42" spans="1:15" ht="21.75" customHeight="1">
      <c r="A42" s="23" t="s">
        <v>76</v>
      </c>
      <c r="B42" s="1" t="s">
        <v>164</v>
      </c>
      <c r="C42" s="1" t="s">
        <v>171</v>
      </c>
      <c r="D42" s="4" t="s">
        <v>83</v>
      </c>
      <c r="E42" s="4" t="s">
        <v>72</v>
      </c>
      <c r="F42" s="4" t="s">
        <v>172</v>
      </c>
      <c r="G42" s="4"/>
      <c r="H42" s="4" t="s">
        <v>42</v>
      </c>
      <c r="I42" s="4"/>
      <c r="J42" s="4"/>
      <c r="K42" s="4" t="s">
        <v>158</v>
      </c>
      <c r="L42" s="4"/>
      <c r="M42"/>
      <c r="N42" s="3"/>
      <c r="O42" s="4"/>
    </row>
    <row r="43" spans="1:15" ht="21.75" customHeight="1">
      <c r="A43" s="23" t="s">
        <v>76</v>
      </c>
      <c r="B43" s="1" t="s">
        <v>173</v>
      </c>
      <c r="C43" s="1" t="s">
        <v>174</v>
      </c>
      <c r="D43" s="4" t="s">
        <v>35</v>
      </c>
      <c r="E43" s="4" t="s">
        <v>49</v>
      </c>
      <c r="F43" s="4" t="s">
        <v>92</v>
      </c>
      <c r="G43" s="4" t="s">
        <v>175</v>
      </c>
      <c r="H43" s="4" t="s">
        <v>41</v>
      </c>
      <c r="I43" s="4"/>
      <c r="J43" s="4"/>
      <c r="K43" s="4" t="s">
        <v>93</v>
      </c>
      <c r="L43" s="4"/>
      <c r="M43"/>
      <c r="N43" s="3"/>
      <c r="O43" s="4"/>
    </row>
    <row r="44" spans="1:15" ht="21.75" customHeight="1">
      <c r="A44" s="23" t="s">
        <v>76</v>
      </c>
      <c r="B44" s="1" t="s">
        <v>173</v>
      </c>
      <c r="C44" s="1" t="s">
        <v>176</v>
      </c>
      <c r="D44" s="4" t="s">
        <v>35</v>
      </c>
      <c r="E44" s="4" t="s">
        <v>31</v>
      </c>
      <c r="F44" s="4" t="s">
        <v>177</v>
      </c>
      <c r="G44" s="4" t="s">
        <v>178</v>
      </c>
      <c r="H44" s="4" t="s">
        <v>41</v>
      </c>
      <c r="I44" s="4"/>
      <c r="J44" s="4"/>
      <c r="K44" s="4" t="s">
        <v>93</v>
      </c>
      <c r="L44" s="4"/>
      <c r="M44"/>
      <c r="N44" s="3"/>
      <c r="O44" s="4"/>
    </row>
    <row r="45" spans="1:15" ht="21.75" customHeight="1">
      <c r="A45" s="23" t="s">
        <v>76</v>
      </c>
      <c r="B45" s="1" t="s">
        <v>173</v>
      </c>
      <c r="C45" s="1" t="s">
        <v>179</v>
      </c>
      <c r="D45" s="4" t="s">
        <v>35</v>
      </c>
      <c r="E45" s="4" t="s">
        <v>82</v>
      </c>
      <c r="F45" s="4" t="s">
        <v>180</v>
      </c>
      <c r="G45" s="4" t="s">
        <v>181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>
      <c r="A46" s="23" t="s">
        <v>76</v>
      </c>
      <c r="B46" s="1" t="s">
        <v>173</v>
      </c>
      <c r="C46" s="1" t="s">
        <v>182</v>
      </c>
      <c r="D46" s="4" t="s">
        <v>35</v>
      </c>
      <c r="E46" s="4" t="s">
        <v>72</v>
      </c>
      <c r="F46" s="4" t="s">
        <v>183</v>
      </c>
      <c r="G46" s="4" t="s">
        <v>184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>
      <c r="A47" s="23" t="s">
        <v>76</v>
      </c>
      <c r="B47" s="1" t="s">
        <v>292</v>
      </c>
      <c r="C47" s="1" t="s">
        <v>185</v>
      </c>
      <c r="D47" s="4" t="s">
        <v>281</v>
      </c>
      <c r="E47" s="4" t="s">
        <v>288</v>
      </c>
      <c r="F47" s="4" t="s">
        <v>282</v>
      </c>
      <c r="G47" s="4"/>
      <c r="H47" s="4" t="s">
        <v>42</v>
      </c>
      <c r="I47" s="4"/>
      <c r="J47" s="4"/>
      <c r="K47" s="4" t="s">
        <v>158</v>
      </c>
      <c r="L47" s="4"/>
      <c r="M47"/>
      <c r="N47" s="3"/>
      <c r="O47" s="4"/>
    </row>
    <row r="48" spans="1:15" ht="21.75" customHeight="1">
      <c r="A48" s="23" t="s">
        <v>76</v>
      </c>
      <c r="B48" s="1" t="s">
        <v>289</v>
      </c>
      <c r="C48" s="1" t="s">
        <v>187</v>
      </c>
      <c r="D48" s="4" t="s">
        <v>283</v>
      </c>
      <c r="E48" s="4"/>
      <c r="F48" s="4" t="s">
        <v>285</v>
      </c>
      <c r="G48" s="4"/>
      <c r="H48" s="4" t="s">
        <v>42</v>
      </c>
      <c r="I48" s="4"/>
      <c r="J48" s="4"/>
      <c r="K48" s="4" t="s">
        <v>287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290</v>
      </c>
      <c r="C49" s="1" t="s">
        <v>190</v>
      </c>
      <c r="D49" s="4" t="s">
        <v>281</v>
      </c>
      <c r="E49" s="4" t="s">
        <v>288</v>
      </c>
      <c r="F49" s="4" t="s">
        <v>286</v>
      </c>
      <c r="G49" s="4"/>
      <c r="H49" s="4" t="s">
        <v>42</v>
      </c>
      <c r="I49" s="4"/>
      <c r="J49" s="4"/>
      <c r="K49" s="4" t="s">
        <v>287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291</v>
      </c>
      <c r="C50" s="1" t="s">
        <v>192</v>
      </c>
      <c r="D50" s="4" t="s">
        <v>283</v>
      </c>
      <c r="E50" s="4"/>
      <c r="F50" s="4" t="s">
        <v>158</v>
      </c>
      <c r="G50" s="4"/>
      <c r="H50" s="4" t="s">
        <v>42</v>
      </c>
      <c r="I50" s="4"/>
      <c r="J50" s="4"/>
      <c r="K50" s="4" t="s">
        <v>158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121</v>
      </c>
      <c r="C51" s="1" t="s">
        <v>194</v>
      </c>
      <c r="D51" s="4" t="s">
        <v>37</v>
      </c>
      <c r="E51" s="4"/>
      <c r="F51" s="4" t="s">
        <v>123</v>
      </c>
      <c r="G51" s="4"/>
      <c r="H51" s="4" t="s">
        <v>41</v>
      </c>
      <c r="I51" s="4"/>
      <c r="J51" s="4"/>
      <c r="K51" s="4" t="s">
        <v>87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186</v>
      </c>
      <c r="C52" s="1" t="s">
        <v>196</v>
      </c>
      <c r="D52" s="4" t="s">
        <v>84</v>
      </c>
      <c r="E52" s="4"/>
      <c r="F52" s="4" t="s">
        <v>188</v>
      </c>
      <c r="G52" s="4" t="s">
        <v>189</v>
      </c>
      <c r="H52" s="4" t="s">
        <v>42</v>
      </c>
      <c r="I52" s="4"/>
      <c r="J52" s="4"/>
      <c r="K52" s="4" t="s">
        <v>71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186</v>
      </c>
      <c r="C53" s="1" t="s">
        <v>199</v>
      </c>
      <c r="D53" s="4" t="s">
        <v>84</v>
      </c>
      <c r="E53" s="4"/>
      <c r="F53" s="4" t="s">
        <v>188</v>
      </c>
      <c r="G53" s="4" t="s">
        <v>191</v>
      </c>
      <c r="H53" s="4" t="s">
        <v>42</v>
      </c>
      <c r="I53" s="4"/>
      <c r="J53" s="4"/>
      <c r="K53" s="4" t="s">
        <v>71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186</v>
      </c>
      <c r="C54" s="1" t="s">
        <v>202</v>
      </c>
      <c r="D54" s="4" t="s">
        <v>84</v>
      </c>
      <c r="E54" s="4"/>
      <c r="F54" s="4" t="s">
        <v>188</v>
      </c>
      <c r="G54" s="4" t="s">
        <v>193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186</v>
      </c>
      <c r="C55" s="1" t="s">
        <v>204</v>
      </c>
      <c r="D55" s="4" t="s">
        <v>84</v>
      </c>
      <c r="E55" s="4"/>
      <c r="F55" s="4" t="s">
        <v>188</v>
      </c>
      <c r="G55" s="4" t="s">
        <v>195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121</v>
      </c>
      <c r="C56" s="1" t="s">
        <v>207</v>
      </c>
      <c r="D56" s="4" t="s">
        <v>37</v>
      </c>
      <c r="E56" s="4"/>
      <c r="F56" s="4" t="s">
        <v>197</v>
      </c>
      <c r="G56" s="4"/>
      <c r="H56" s="4" t="s">
        <v>42</v>
      </c>
      <c r="I56" s="4"/>
      <c r="J56" s="4"/>
      <c r="K56" s="4" t="s">
        <v>95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198</v>
      </c>
      <c r="C57" s="1" t="s">
        <v>211</v>
      </c>
      <c r="D57" s="4" t="s">
        <v>48</v>
      </c>
      <c r="E57" s="4"/>
      <c r="F57" s="4"/>
      <c r="G57" s="4">
        <v>0</v>
      </c>
      <c r="H57" s="4" t="s">
        <v>43</v>
      </c>
      <c r="I57" s="4" t="s">
        <v>49</v>
      </c>
      <c r="J57" s="4" t="s">
        <v>200</v>
      </c>
      <c r="K57" s="4" t="s">
        <v>201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198</v>
      </c>
      <c r="C58" s="1" t="s">
        <v>213</v>
      </c>
      <c r="D58" s="4" t="s">
        <v>48</v>
      </c>
      <c r="E58" s="4"/>
      <c r="F58" s="4"/>
      <c r="G58" s="4">
        <v>100</v>
      </c>
      <c r="H58" s="4" t="s">
        <v>43</v>
      </c>
      <c r="I58" s="4" t="s">
        <v>31</v>
      </c>
      <c r="J58" s="4" t="s">
        <v>128</v>
      </c>
      <c r="K58" s="4" t="s">
        <v>203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198</v>
      </c>
      <c r="C59" s="1" t="s">
        <v>214</v>
      </c>
      <c r="D59" s="4" t="s">
        <v>48</v>
      </c>
      <c r="E59" s="4"/>
      <c r="F59" s="4"/>
      <c r="G59" s="4">
        <v>200</v>
      </c>
      <c r="H59" s="4" t="s">
        <v>43</v>
      </c>
      <c r="I59" s="4" t="s">
        <v>82</v>
      </c>
      <c r="J59" s="4" t="s">
        <v>205</v>
      </c>
      <c r="K59" s="4" t="s">
        <v>206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198</v>
      </c>
      <c r="C60" s="1" t="s">
        <v>215</v>
      </c>
      <c r="D60" s="4" t="s">
        <v>48</v>
      </c>
      <c r="E60" s="4"/>
      <c r="F60" s="4"/>
      <c r="G60" s="4">
        <v>300</v>
      </c>
      <c r="H60" s="4" t="s">
        <v>43</v>
      </c>
      <c r="I60" s="4" t="s">
        <v>72</v>
      </c>
      <c r="J60" s="4" t="s">
        <v>208</v>
      </c>
      <c r="K60" s="4" t="s">
        <v>209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210</v>
      </c>
      <c r="C61" s="1" t="s">
        <v>218</v>
      </c>
      <c r="D61" s="4" t="s">
        <v>48</v>
      </c>
      <c r="E61" s="4"/>
      <c r="F61" s="4"/>
      <c r="G61" s="4">
        <v>400</v>
      </c>
      <c r="H61" s="4" t="s">
        <v>44</v>
      </c>
      <c r="I61" s="4" t="s">
        <v>49</v>
      </c>
      <c r="J61" s="4" t="s">
        <v>200</v>
      </c>
      <c r="K61" s="4" t="s">
        <v>212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210</v>
      </c>
      <c r="C62" s="1" t="s">
        <v>220</v>
      </c>
      <c r="D62" s="4" t="s">
        <v>48</v>
      </c>
      <c r="E62" s="4"/>
      <c r="F62" s="4"/>
      <c r="G62" s="4">
        <v>500</v>
      </c>
      <c r="H62" s="4" t="s">
        <v>44</v>
      </c>
      <c r="I62" s="4" t="s">
        <v>31</v>
      </c>
      <c r="J62" s="4" t="s">
        <v>128</v>
      </c>
      <c r="K62" s="4" t="s">
        <v>94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210</v>
      </c>
      <c r="C63" s="1" t="s">
        <v>222</v>
      </c>
      <c r="D63" s="4" t="s">
        <v>48</v>
      </c>
      <c r="E63" s="4"/>
      <c r="F63" s="4"/>
      <c r="G63" s="4">
        <v>600</v>
      </c>
      <c r="H63" s="4" t="s">
        <v>44</v>
      </c>
      <c r="I63" s="4" t="s">
        <v>82</v>
      </c>
      <c r="J63" s="4" t="s">
        <v>205</v>
      </c>
      <c r="K63" s="4" t="s">
        <v>96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210</v>
      </c>
      <c r="C64" s="1" t="s">
        <v>224</v>
      </c>
      <c r="D64" s="4" t="s">
        <v>48</v>
      </c>
      <c r="E64" s="4"/>
      <c r="F64" s="4"/>
      <c r="G64" s="4">
        <v>700</v>
      </c>
      <c r="H64" s="4" t="s">
        <v>44</v>
      </c>
      <c r="I64" s="4" t="s">
        <v>72</v>
      </c>
      <c r="J64" s="4" t="s">
        <v>208</v>
      </c>
      <c r="K64" s="4" t="s">
        <v>216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217</v>
      </c>
      <c r="C65" s="1" t="s">
        <v>293</v>
      </c>
      <c r="D65" s="4" t="s">
        <v>48</v>
      </c>
      <c r="E65" s="4"/>
      <c r="F65" s="4"/>
      <c r="G65" s="4">
        <v>800</v>
      </c>
      <c r="H65" s="4" t="s">
        <v>45</v>
      </c>
      <c r="I65" s="4" t="s">
        <v>49</v>
      </c>
      <c r="J65" s="4" t="s">
        <v>200</v>
      </c>
      <c r="K65" s="4" t="s">
        <v>219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217</v>
      </c>
      <c r="C66" s="1" t="s">
        <v>294</v>
      </c>
      <c r="D66" s="4" t="s">
        <v>48</v>
      </c>
      <c r="E66" s="4"/>
      <c r="F66" s="4"/>
      <c r="G66" s="4">
        <v>900</v>
      </c>
      <c r="H66" s="4" t="s">
        <v>45</v>
      </c>
      <c r="I66" s="4" t="s">
        <v>31</v>
      </c>
      <c r="J66" s="4" t="s">
        <v>128</v>
      </c>
      <c r="K66" s="4" t="s">
        <v>221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217</v>
      </c>
      <c r="C67" s="1" t="s">
        <v>295</v>
      </c>
      <c r="D67" s="4" t="s">
        <v>48</v>
      </c>
      <c r="E67" s="4"/>
      <c r="F67" s="4"/>
      <c r="G67" s="4">
        <v>1000</v>
      </c>
      <c r="H67" s="4" t="s">
        <v>45</v>
      </c>
      <c r="I67" s="4" t="s">
        <v>82</v>
      </c>
      <c r="J67" s="4" t="s">
        <v>205</v>
      </c>
      <c r="K67" s="4" t="s">
        <v>223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217</v>
      </c>
      <c r="C68" s="1" t="s">
        <v>296</v>
      </c>
      <c r="D68" s="4" t="s">
        <v>48</v>
      </c>
      <c r="E68" s="4"/>
      <c r="F68" s="4"/>
      <c r="G68" s="4">
        <v>1100</v>
      </c>
      <c r="H68" s="4" t="s">
        <v>45</v>
      </c>
      <c r="I68" s="4" t="s">
        <v>72</v>
      </c>
      <c r="J68" s="4" t="s">
        <v>208</v>
      </c>
      <c r="K68" s="4" t="s">
        <v>225</v>
      </c>
      <c r="L68" s="4"/>
      <c r="M6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22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2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2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5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5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4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4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2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26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2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2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4"/>
      <c r="L204" s="4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8"/>
      <c r="L215" s="8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17"/>
      <c r="L216" s="17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17"/>
      <c r="L217" s="17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8"/>
      <c r="L218" s="8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4"/>
      <c r="L219" s="4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4"/>
      <c r="L220" s="4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8"/>
      <c r="L231" s="8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17"/>
      <c r="L232" s="17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17"/>
      <c r="L233" s="17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8"/>
      <c r="L234" s="8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4"/>
      <c r="L235" s="4"/>
      <c r="M235" s="28"/>
      <c r="N235" s="3"/>
      <c r="O235" s="4"/>
    </row>
    <row r="236" spans="1:15">
      <c r="A236" s="12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3"/>
      <c r="O236" s="4"/>
    </row>
    <row r="237" spans="1:15">
      <c r="A237" s="12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A20:A68</xm:sqref>
        </x14:dataValidation>
        <x14:dataValidation type="list" allowBlank="1" showInputMessage="1" showErrorMessage="1">
          <x14:formula1>
            <xm:f>LISTBOX_DATA!$C$1:$C$5</xm:f>
          </x14:formula1>
          <xm:sqref>E20:E91</xm:sqref>
        </x14:dataValidation>
        <x14:dataValidation type="list" allowBlank="1" showInputMessage="1" showErrorMessage="1">
          <x14:formula1>
            <xm:f>LISTBOX_DATA!$B$1:$B$12</xm:f>
          </x14:formula1>
          <xm:sqref>D20:D68</xm:sqref>
        </x14:dataValidation>
        <x14:dataValidation type="list" allowBlank="1" showInputMessage="1" showErrorMessage="1">
          <x14:formula1>
            <xm:f>LISTBOX_DATA!$D$1:$D$5</xm:f>
          </x14:formula1>
          <xm:sqref>H20:H91</xm:sqref>
        </x14:dataValidation>
        <x14:dataValidation type="list" allowBlank="1" showInputMessage="1" showErrorMessage="1">
          <x14:formula1>
            <xm:f>LISTBOX_DATA!$E$1:$E$4</xm:f>
          </x14:formula1>
          <xm:sqref>I20:I91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256</v>
      </c>
      <c r="D9" s="5" t="s">
        <v>73</v>
      </c>
      <c r="E9" s="19">
        <f>E13-SUM(E10:E12)</f>
        <v>10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240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LISTBOX_DATA!$B$1:$B$12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zoomScaleNormal="100" workbookViewId="0">
      <selection activeCell="B10" sqref="B10"/>
    </sheetView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>
      <c r="A1" s="38" t="s">
        <v>241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258</v>
      </c>
      <c r="B9" s="1" t="s">
        <v>79</v>
      </c>
      <c r="D9" s="5" t="s">
        <v>73</v>
      </c>
      <c r="E9" s="19">
        <f>SUM(batchRunTBL[Not Tested])</f>
        <v>60</v>
      </c>
      <c r="L9" s="61"/>
      <c r="M9" s="61"/>
      <c r="N9" s="61"/>
      <c r="O9" s="61"/>
      <c r="P9" s="61"/>
    </row>
    <row r="10" spans="1:16">
      <c r="A10" s="5" t="s">
        <v>240</v>
      </c>
      <c r="B10" s="1" t="s">
        <v>79</v>
      </c>
      <c r="D10" s="5" t="s">
        <v>4</v>
      </c>
      <c r="E10" s="21">
        <f>SUM(batchRunTBL[Passed])</f>
        <v>0</v>
      </c>
      <c r="L10" s="61"/>
      <c r="M10" s="61"/>
      <c r="N10" s="61"/>
      <c r="O10" s="61"/>
      <c r="P10" s="61"/>
    </row>
    <row r="11" spans="1:16">
      <c r="A11" s="5"/>
      <c r="D11" s="5" t="s">
        <v>5</v>
      </c>
      <c r="E11" s="20">
        <f>SUM(batchRunTBL[Failed])</f>
        <v>0</v>
      </c>
      <c r="L11" s="61"/>
      <c r="M11" s="61"/>
      <c r="N11" s="61"/>
      <c r="O11" s="61"/>
      <c r="P11" s="61"/>
    </row>
    <row r="12" spans="1:16">
      <c r="A12" s="5"/>
      <c r="D12" s="5" t="s">
        <v>8</v>
      </c>
      <c r="E12" s="18">
        <f>SUM(batchRunTBL[Skipped])</f>
        <v>0</v>
      </c>
      <c r="L12" s="61"/>
      <c r="M12" s="61"/>
      <c r="N12" s="61"/>
      <c r="O12" s="61"/>
      <c r="P12" s="61"/>
    </row>
    <row r="13" spans="1:16">
      <c r="A13" s="5"/>
      <c r="D13" s="5" t="s">
        <v>6</v>
      </c>
      <c r="E13" s="6">
        <f>SUM(batchRunTBL[Total])</f>
        <v>60</v>
      </c>
      <c r="L13" s="61"/>
      <c r="M13" s="61"/>
      <c r="N13" s="61"/>
      <c r="O13" s="61"/>
      <c r="P13" s="61"/>
    </row>
    <row r="14" spans="1:16">
      <c r="A14" s="5"/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277</v>
      </c>
      <c r="C20" s="29">
        <v>50</v>
      </c>
      <c r="D20" s="29">
        <v>0</v>
      </c>
      <c r="E20" s="29">
        <v>0</v>
      </c>
      <c r="F20" s="29">
        <v>0</v>
      </c>
      <c r="G20" s="29">
        <v>50</v>
      </c>
      <c r="H20" s="29" t="s">
        <v>280</v>
      </c>
      <c r="I20" s="45"/>
    </row>
    <row r="21" spans="1:15" s="29" customFormat="1">
      <c r="A21" s="12" t="s">
        <v>76</v>
      </c>
      <c r="B21" s="1" t="s">
        <v>278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280</v>
      </c>
      <c r="I21" s="4"/>
    </row>
    <row r="22" spans="1:15" s="29" customFormat="1">
      <c r="A22" s="12"/>
      <c r="B22" s="1"/>
      <c r="C22" s="13"/>
      <c r="D22" s="4"/>
      <c r="E22" s="4"/>
      <c r="F22" s="4"/>
      <c r="G22" s="4"/>
      <c r="H22" s="4"/>
      <c r="I22" s="4"/>
    </row>
    <row r="23" spans="1:15" s="29" customFormat="1">
      <c r="A23" s="12"/>
      <c r="B23" s="1"/>
      <c r="C23" s="13"/>
      <c r="D23" s="4"/>
      <c r="E23" s="4"/>
      <c r="F23" s="4"/>
      <c r="G23" s="4"/>
      <c r="H23" s="4"/>
      <c r="I23" s="4"/>
    </row>
    <row r="24" spans="1:15" s="29" customFormat="1">
      <c r="A24" s="12"/>
      <c r="B24" s="1"/>
      <c r="C24" s="13"/>
      <c r="D24" s="4"/>
      <c r="E24" s="4"/>
      <c r="F24" s="4"/>
      <c r="G24" s="4"/>
      <c r="H24" s="4"/>
      <c r="I24" s="4"/>
    </row>
    <row r="25" spans="1:15" s="29" customFormat="1">
      <c r="A25" s="12"/>
      <c r="B25" s="1"/>
      <c r="C25" s="13"/>
      <c r="D25" s="4"/>
      <c r="E25" s="4"/>
      <c r="F25" s="4"/>
      <c r="G25" s="4"/>
      <c r="H25" s="4"/>
      <c r="I25" s="4"/>
    </row>
    <row r="26" spans="1:15" s="29" customFormat="1">
      <c r="A26" s="12"/>
      <c r="B26" s="1"/>
      <c r="C26" s="13"/>
      <c r="D26" s="4"/>
      <c r="E26" s="4"/>
      <c r="F26" s="4"/>
      <c r="G26" s="4"/>
      <c r="H26" s="4"/>
      <c r="I26" s="4"/>
    </row>
    <row r="27" spans="1:15" s="29" customFormat="1">
      <c r="A27" s="12"/>
      <c r="B27" s="1"/>
      <c r="C27" s="13"/>
      <c r="D27" s="4"/>
      <c r="E27" s="4"/>
      <c r="F27" s="4"/>
      <c r="G27" s="4"/>
      <c r="H27" s="4"/>
      <c r="I27" s="4"/>
    </row>
    <row r="28" spans="1:15" s="29" customFormat="1">
      <c r="A28" s="12"/>
      <c r="B28" s="1"/>
      <c r="C28" s="13"/>
      <c r="D28" s="4"/>
      <c r="E28" s="4"/>
      <c r="F28" s="4"/>
      <c r="G28" s="4"/>
      <c r="H28" s="4"/>
      <c r="I28" s="4"/>
    </row>
    <row r="29" spans="1:15" s="29" customFormat="1">
      <c r="A29" s="12"/>
      <c r="B29" s="1"/>
      <c r="C29" s="13"/>
      <c r="D29" s="4"/>
      <c r="E29" s="4"/>
      <c r="F29" s="4"/>
      <c r="G29" s="4"/>
      <c r="H29" s="4"/>
      <c r="I29" s="4"/>
    </row>
    <row r="30" spans="1:15" s="29" customFormat="1">
      <c r="A30" s="12"/>
      <c r="B30" s="1"/>
      <c r="C30" s="13"/>
      <c r="D30" s="4"/>
      <c r="E30" s="4"/>
      <c r="F30" s="4"/>
      <c r="G30" s="4"/>
      <c r="H30" s="4"/>
      <c r="I30" s="4"/>
    </row>
    <row r="31" spans="1:15" s="29" customFormat="1">
      <c r="A31" s="12"/>
      <c r="B31" s="1"/>
      <c r="C31" s="13"/>
      <c r="D31" s="4"/>
      <c r="E31" s="4"/>
      <c r="F31" s="4"/>
      <c r="G31" s="4"/>
      <c r="H31" s="4"/>
      <c r="I31" s="4"/>
    </row>
    <row r="32" spans="1:15" s="29" customFormat="1">
      <c r="A32" s="12"/>
      <c r="B32" s="1"/>
      <c r="C32" s="13"/>
      <c r="D32" s="4"/>
      <c r="E32" s="4"/>
      <c r="F32" s="4"/>
      <c r="G32" s="4"/>
      <c r="H32" s="4"/>
      <c r="I32" s="4"/>
    </row>
    <row r="33" spans="1:15" s="29" customFormat="1">
      <c r="A33" s="12"/>
      <c r="B33" s="1"/>
      <c r="C33" s="13"/>
      <c r="D33" s="4"/>
      <c r="E33" s="4"/>
      <c r="F33" s="4"/>
      <c r="G33" s="4"/>
      <c r="H33" s="4"/>
      <c r="I33" s="4"/>
    </row>
    <row r="34" spans="1:15" s="29" customFormat="1">
      <c r="A34" s="12"/>
      <c r="B34" s="1"/>
      <c r="C34" s="13"/>
      <c r="D34" s="4"/>
      <c r="E34" s="4"/>
      <c r="F34" s="4"/>
      <c r="G34" s="4"/>
      <c r="H34" s="4"/>
      <c r="I34" s="4"/>
    </row>
    <row r="35" spans="1:15" s="29" customFormat="1">
      <c r="A35" s="12"/>
      <c r="B35" s="1"/>
      <c r="C35" s="13"/>
      <c r="D35" s="4"/>
      <c r="E35" s="4"/>
      <c r="F35" s="4"/>
      <c r="G35" s="4"/>
      <c r="H35" s="4"/>
      <c r="I35" s="4"/>
    </row>
    <row r="36" spans="1:15" s="29" customFormat="1">
      <c r="A36" s="12"/>
      <c r="B36" s="1"/>
      <c r="C36" s="13"/>
      <c r="D36" s="4"/>
      <c r="E36" s="4"/>
      <c r="F36" s="4"/>
      <c r="G36" s="4"/>
      <c r="H36" s="4"/>
      <c r="I36" s="4"/>
    </row>
    <row r="37" spans="1:15" s="29" customFormat="1">
      <c r="A37" s="12"/>
      <c r="B37" s="1"/>
      <c r="C37" s="13"/>
      <c r="D37" s="4"/>
      <c r="E37" s="4"/>
      <c r="F37" s="4"/>
      <c r="G37" s="4"/>
      <c r="H37" s="4"/>
      <c r="I37" s="4"/>
    </row>
    <row r="38" spans="1:15" s="29" customFormat="1">
      <c r="A38" s="12"/>
      <c r="B38" s="1"/>
      <c r="C38" s="13"/>
      <c r="D38" s="4"/>
      <c r="E38" s="4"/>
      <c r="F38" s="4"/>
      <c r="G38" s="4"/>
      <c r="H38" s="4"/>
      <c r="I38" s="4"/>
    </row>
    <row r="39" spans="1:15" s="29" customFormat="1">
      <c r="A39" s="12"/>
      <c r="B39" s="1"/>
      <c r="C39" s="13"/>
      <c r="D39" s="4"/>
      <c r="E39" s="4"/>
      <c r="F39" s="4"/>
      <c r="G39" s="4"/>
      <c r="H39" s="4"/>
      <c r="I39" s="4"/>
    </row>
    <row r="40" spans="1:15" s="29" customFormat="1">
      <c r="A40" s="12"/>
      <c r="B40" s="1"/>
      <c r="C40" s="13"/>
      <c r="D40" s="4"/>
      <c r="E40" s="4"/>
      <c r="F40" s="4"/>
      <c r="G40" s="4"/>
      <c r="H40" s="4"/>
      <c r="I40" s="4"/>
    </row>
    <row r="41" spans="1:15" s="29" customFormat="1">
      <c r="A41" s="12"/>
      <c r="B41" s="1"/>
      <c r="C41" s="13"/>
      <c r="D41" s="4"/>
      <c r="E41" s="4"/>
      <c r="F41" s="4"/>
      <c r="G41" s="4"/>
      <c r="H41" s="4"/>
      <c r="I41" s="4"/>
    </row>
    <row r="42" spans="1:15" s="29" customFormat="1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12"/>
      <c r="C45" s="13"/>
      <c r="D45" s="4"/>
      <c r="E45" s="4"/>
      <c r="F45" s="4"/>
      <c r="G45" s="4"/>
      <c r="H45" s="4"/>
      <c r="I45" s="4"/>
      <c r="J45" s="4"/>
      <c r="K45" s="26"/>
      <c r="L45" s="4"/>
      <c r="M45" s="28"/>
      <c r="N45" s="3"/>
      <c r="O45" s="4"/>
    </row>
    <row r="46" spans="1:15" ht="21.75" customHeight="1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2"/>
      <c r="N49" s="3"/>
      <c r="O49" s="4"/>
    </row>
    <row r="50" spans="1:15" ht="21.75" customHeight="1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2"/>
      <c r="N50" s="3"/>
      <c r="O50" s="4"/>
    </row>
    <row r="51" spans="1:15" ht="21.75" customHeight="1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17"/>
      <c r="L65" s="17"/>
      <c r="M65" s="4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17"/>
      <c r="L66" s="17"/>
      <c r="M66" s="4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2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12"/>
      <c r="D78" s="4"/>
      <c r="E78" s="4"/>
      <c r="F78" s="4"/>
      <c r="G78" s="4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12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12"/>
      <c r="D80" s="4"/>
      <c r="E80" s="4"/>
      <c r="F80" s="4"/>
      <c r="G80" s="4"/>
      <c r="H80" s="4"/>
      <c r="I80" s="4"/>
      <c r="J80" s="4"/>
      <c r="K80" s="8"/>
      <c r="L80" s="8"/>
      <c r="M80" s="28"/>
      <c r="N80" s="3"/>
      <c r="O80" s="4"/>
    </row>
    <row r="81" spans="1:15" ht="21.75" customHeight="1">
      <c r="A81" s="12"/>
      <c r="D81" s="4"/>
      <c r="E81" s="4"/>
      <c r="F81" s="4"/>
      <c r="G81" s="4"/>
      <c r="H81" s="4"/>
      <c r="I81" s="4"/>
      <c r="J81" s="4"/>
      <c r="K81" s="17"/>
      <c r="L81" s="17"/>
      <c r="M81" s="28"/>
      <c r="N81" s="3"/>
      <c r="O81" s="4"/>
    </row>
    <row r="82" spans="1:15" ht="21.75" customHeight="1">
      <c r="A82" s="12"/>
      <c r="D82" s="4"/>
      <c r="E82" s="4"/>
      <c r="F82" s="4"/>
      <c r="G82" s="4"/>
      <c r="H82" s="4"/>
      <c r="I82" s="4"/>
      <c r="J82" s="4"/>
      <c r="K82" s="17"/>
      <c r="L82" s="17"/>
      <c r="M82" s="28"/>
      <c r="N82" s="3"/>
      <c r="O82" s="4"/>
    </row>
    <row r="83" spans="1:15" ht="21.75" customHeight="1">
      <c r="J83" s="4"/>
      <c r="K83" s="8"/>
      <c r="L83" s="8"/>
      <c r="M83" s="28"/>
      <c r="N83" s="3"/>
      <c r="O83" s="4"/>
    </row>
    <row r="84" spans="1:15" ht="21.75" customHeight="1">
      <c r="J84" s="4"/>
      <c r="K84" s="4"/>
      <c r="L84" s="4"/>
      <c r="M84" s="28"/>
      <c r="N84" s="3"/>
      <c r="O84" s="4"/>
    </row>
    <row r="85" spans="1:15" ht="21.75" customHeight="1">
      <c r="J85" s="4"/>
      <c r="K85" s="4"/>
      <c r="L85" s="4"/>
      <c r="M85" s="28"/>
      <c r="N85" s="3"/>
      <c r="O85" s="4"/>
    </row>
    <row r="86" spans="1:15" ht="21.75" customHeight="1">
      <c r="J86" s="4"/>
      <c r="K86" s="4"/>
      <c r="L86" s="4"/>
      <c r="M86" s="28"/>
      <c r="N86" s="3"/>
      <c r="O86" s="4"/>
    </row>
    <row r="87" spans="1:15" ht="21.75" customHeight="1">
      <c r="J87" s="4"/>
      <c r="K87" s="4"/>
      <c r="L87" s="4"/>
      <c r="M87" s="28"/>
      <c r="N87" s="3"/>
      <c r="O87" s="4"/>
    </row>
    <row r="88" spans="1:15" ht="21.75" customHeight="1">
      <c r="J88" s="4"/>
      <c r="K88" s="4"/>
      <c r="L88" s="4"/>
      <c r="M88" s="28"/>
      <c r="N88" s="3"/>
      <c r="O88" s="4"/>
    </row>
    <row r="89" spans="1:15" ht="21.75" customHeight="1">
      <c r="J89" s="4"/>
      <c r="K89" s="4"/>
      <c r="L89" s="4"/>
      <c r="M89" s="28"/>
      <c r="N89" s="3"/>
      <c r="O89" s="4"/>
    </row>
    <row r="90" spans="1:15" ht="21.75" customHeight="1">
      <c r="J90" s="4"/>
      <c r="K90" s="4"/>
      <c r="L90" s="4"/>
      <c r="M90" s="28"/>
      <c r="N90" s="3"/>
      <c r="O90" s="4"/>
    </row>
    <row r="91" spans="1:15" ht="21.75" customHeight="1">
      <c r="J91" s="4"/>
      <c r="K91" s="4"/>
      <c r="L91" s="4"/>
      <c r="M91" s="28"/>
      <c r="N91" s="3"/>
      <c r="O91" s="4"/>
    </row>
    <row r="92" spans="1:15" ht="21.75" customHeight="1">
      <c r="J92" s="4"/>
      <c r="K92" s="4"/>
      <c r="L92" s="4"/>
      <c r="M92" s="28"/>
      <c r="N92" s="3"/>
      <c r="O92" s="4"/>
    </row>
    <row r="93" spans="1:15" ht="21.75" customHeight="1">
      <c r="J93" s="4"/>
      <c r="K93" s="4"/>
      <c r="L93" s="4"/>
      <c r="M93" s="28"/>
      <c r="N93" s="3"/>
      <c r="O93" s="4"/>
    </row>
    <row r="94" spans="1:15" ht="21.75" customHeight="1">
      <c r="J94" s="4"/>
      <c r="K94" s="4"/>
      <c r="L94" s="4"/>
      <c r="M94" s="28"/>
      <c r="N94" s="3"/>
      <c r="O94" s="4"/>
    </row>
    <row r="95" spans="1:15" ht="21.75" customHeight="1">
      <c r="J95" s="4"/>
      <c r="K95" s="4"/>
      <c r="L95" s="4"/>
      <c r="M95" s="28"/>
      <c r="N95" s="3"/>
      <c r="O95" s="4"/>
    </row>
    <row r="96" spans="1:15" ht="21.75" customHeight="1">
      <c r="J96" s="4"/>
      <c r="K96" s="8"/>
      <c r="L96" s="8"/>
      <c r="M96" s="28"/>
      <c r="N96" s="3"/>
      <c r="O96" s="4"/>
    </row>
    <row r="97" spans="10:15" ht="21.75" customHeight="1">
      <c r="J97" s="4"/>
      <c r="K97" s="17"/>
      <c r="L97" s="17"/>
      <c r="M97" s="28"/>
      <c r="N97" s="3"/>
      <c r="O97" s="4"/>
    </row>
    <row r="98" spans="10:15" ht="21.75" customHeight="1">
      <c r="J98" s="4"/>
      <c r="K98" s="17"/>
      <c r="L98" s="17"/>
      <c r="M98" s="28"/>
      <c r="N98" s="3"/>
      <c r="O98" s="4"/>
    </row>
    <row r="99" spans="10:15" ht="21.75" customHeight="1">
      <c r="J99" s="4"/>
      <c r="K99" s="8"/>
      <c r="L99" s="8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4"/>
      <c r="L103" s="4"/>
      <c r="M103" s="28"/>
      <c r="N103" s="3"/>
      <c r="O103" s="4"/>
    </row>
    <row r="104" spans="10:15" ht="21.75" customHeight="1">
      <c r="J104" s="4"/>
      <c r="K104" s="4"/>
      <c r="L104" s="4"/>
      <c r="M104" s="28"/>
      <c r="N104" s="3"/>
      <c r="O104" s="4"/>
    </row>
    <row r="105" spans="10:15" ht="21.75" customHeight="1">
      <c r="J105" s="4"/>
      <c r="K105" s="4"/>
      <c r="L105" s="4"/>
      <c r="M105" s="28"/>
      <c r="N105" s="3"/>
      <c r="O105" s="4"/>
    </row>
    <row r="106" spans="10:15" ht="21.75" customHeight="1">
      <c r="J106" s="4"/>
      <c r="K106" s="4"/>
      <c r="L106" s="4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8"/>
      <c r="L112" s="8"/>
      <c r="M112" s="28"/>
      <c r="N112" s="3"/>
      <c r="O112" s="4"/>
    </row>
    <row r="113" spans="10:15" ht="21.75" customHeight="1">
      <c r="J113" s="4"/>
      <c r="K113" s="17"/>
      <c r="L113" s="17"/>
      <c r="M113" s="28"/>
      <c r="N113" s="3"/>
      <c r="O113" s="4"/>
    </row>
    <row r="114" spans="10:15" ht="21.75" customHeight="1">
      <c r="J114" s="4"/>
      <c r="K114" s="17"/>
      <c r="L114" s="17"/>
      <c r="M114" s="28"/>
      <c r="N114" s="3"/>
      <c r="O114" s="4"/>
    </row>
    <row r="115" spans="10:15" ht="21.75" customHeight="1">
      <c r="J115" s="4"/>
      <c r="K115" s="8"/>
      <c r="L115" s="8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4"/>
      <c r="L119" s="4"/>
      <c r="M119" s="28"/>
      <c r="N119" s="3"/>
      <c r="O119" s="4"/>
    </row>
    <row r="120" spans="10:15" ht="21.75" customHeight="1">
      <c r="J120" s="4"/>
      <c r="K120" s="4"/>
      <c r="L120" s="4"/>
      <c r="M120" s="28"/>
      <c r="N120" s="3"/>
      <c r="O120" s="4"/>
    </row>
    <row r="121" spans="10:15" ht="21.75" customHeight="1">
      <c r="J121" s="4"/>
      <c r="K121" s="4"/>
      <c r="L121" s="4"/>
      <c r="M121" s="28"/>
      <c r="N121" s="3"/>
      <c r="O121" s="4"/>
    </row>
    <row r="122" spans="10:15" ht="21.75" customHeight="1">
      <c r="J122" s="4"/>
      <c r="K122" s="4"/>
      <c r="L122" s="4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8"/>
      <c r="L128" s="8"/>
      <c r="M128" s="28"/>
      <c r="N128" s="3"/>
      <c r="O128" s="4"/>
    </row>
    <row r="129" spans="10:15" ht="21.75" customHeight="1">
      <c r="J129" s="4"/>
      <c r="K129" s="17"/>
      <c r="L129" s="17"/>
      <c r="M129" s="28"/>
      <c r="N129" s="3"/>
      <c r="O129" s="4"/>
    </row>
    <row r="130" spans="10:15" ht="21.75" customHeight="1">
      <c r="J130" s="4"/>
      <c r="K130" s="17"/>
      <c r="L130" s="17"/>
      <c r="M130" s="28"/>
      <c r="N130" s="3"/>
      <c r="O130" s="4"/>
    </row>
    <row r="131" spans="10:15" ht="21.75" customHeight="1">
      <c r="J131" s="4"/>
      <c r="K131" s="8"/>
      <c r="L131" s="8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4"/>
      <c r="L135" s="4"/>
      <c r="M135" s="28"/>
      <c r="N135" s="3"/>
      <c r="O135" s="4"/>
    </row>
    <row r="136" spans="10:15" ht="21.75" customHeight="1">
      <c r="J136" s="4"/>
      <c r="K136" s="4"/>
      <c r="L136" s="4"/>
      <c r="M136" s="28"/>
      <c r="N136" s="3"/>
      <c r="O136" s="4"/>
    </row>
    <row r="137" spans="10:15" ht="21.75" customHeight="1">
      <c r="J137" s="4"/>
      <c r="K137" s="4"/>
      <c r="L137" s="4"/>
      <c r="M137" s="28"/>
      <c r="N137" s="3"/>
      <c r="O137" s="4"/>
    </row>
    <row r="138" spans="10:15" ht="21.75" customHeight="1">
      <c r="J138" s="4"/>
      <c r="K138" s="4"/>
      <c r="L138" s="4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8"/>
      <c r="L144" s="8"/>
      <c r="M144" s="28"/>
      <c r="N144" s="3"/>
      <c r="O144" s="4"/>
    </row>
    <row r="145" spans="10:15" ht="21.75" customHeight="1">
      <c r="J145" s="4"/>
      <c r="K145" s="17"/>
      <c r="L145" s="17"/>
      <c r="M145" s="28"/>
      <c r="N145" s="3"/>
      <c r="O145" s="4"/>
    </row>
    <row r="146" spans="10:15" ht="21.75" customHeight="1">
      <c r="J146" s="4"/>
      <c r="K146" s="17"/>
      <c r="L146" s="17"/>
      <c r="M146" s="28"/>
      <c r="N146" s="3"/>
      <c r="O146" s="4"/>
    </row>
    <row r="147" spans="10:15" ht="21.75" customHeight="1">
      <c r="J147" s="4"/>
      <c r="K147" s="8"/>
      <c r="L147" s="8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4"/>
      <c r="L151" s="4"/>
      <c r="M151" s="28"/>
      <c r="N151" s="3"/>
      <c r="O151" s="4"/>
    </row>
    <row r="152" spans="10:15" ht="21.75" customHeight="1">
      <c r="J152" s="4"/>
      <c r="K152" s="4"/>
      <c r="L152" s="4"/>
      <c r="M152" s="28"/>
      <c r="N152" s="3"/>
      <c r="O152" s="4"/>
    </row>
    <row r="153" spans="10:15" ht="21.75" customHeight="1">
      <c r="J153" s="4"/>
      <c r="K153" s="4"/>
      <c r="L153" s="4"/>
      <c r="M153" s="28"/>
      <c r="N153" s="3"/>
      <c r="O153" s="4"/>
    </row>
    <row r="154" spans="10:15" ht="21.75" customHeight="1">
      <c r="J154" s="4"/>
      <c r="K154" s="4"/>
      <c r="L154" s="4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8"/>
      <c r="L160" s="8"/>
      <c r="M160" s="28"/>
      <c r="N160" s="3"/>
      <c r="O160" s="4"/>
    </row>
    <row r="161" spans="10:15" ht="21.75" customHeight="1">
      <c r="J161" s="4"/>
      <c r="K161" s="17"/>
      <c r="L161" s="17"/>
      <c r="M161" s="28"/>
      <c r="N161" s="3"/>
      <c r="O161" s="4"/>
    </row>
    <row r="162" spans="10:15" ht="21.75" customHeight="1">
      <c r="J162" s="4"/>
      <c r="K162" s="17"/>
      <c r="L162" s="17"/>
      <c r="M162" s="28"/>
      <c r="N162" s="3"/>
      <c r="O162" s="4"/>
    </row>
    <row r="163" spans="10:15" ht="21.75" customHeight="1">
      <c r="J163" s="4"/>
      <c r="K163" s="8"/>
      <c r="L163" s="8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4"/>
      <c r="L167" s="4"/>
      <c r="M167" s="28"/>
      <c r="N167" s="3"/>
      <c r="O167" s="4"/>
    </row>
    <row r="168" spans="10:15" ht="21.75" customHeight="1">
      <c r="J168" s="4"/>
      <c r="K168" s="4"/>
      <c r="L168" s="4"/>
      <c r="M168" s="28"/>
      <c r="N168" s="3"/>
      <c r="O168" s="4"/>
    </row>
    <row r="169" spans="10:15" ht="21.75" customHeight="1">
      <c r="J169" s="4"/>
      <c r="K169" s="4"/>
      <c r="L169" s="4"/>
      <c r="M169" s="28"/>
      <c r="N169" s="3"/>
      <c r="O169" s="4"/>
    </row>
    <row r="170" spans="10:15" ht="21.75" customHeight="1">
      <c r="J170" s="4"/>
      <c r="K170" s="4"/>
      <c r="L170" s="4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8"/>
      <c r="L176" s="8"/>
      <c r="M176" s="28"/>
      <c r="N176" s="3"/>
      <c r="O176" s="4"/>
    </row>
    <row r="177" spans="10:15" ht="21.75" customHeight="1">
      <c r="J177" s="4"/>
      <c r="K177" s="17"/>
      <c r="L177" s="17"/>
      <c r="M177" s="28"/>
      <c r="N177" s="3"/>
      <c r="O177" s="4"/>
    </row>
    <row r="178" spans="10:15" ht="21.75" customHeight="1">
      <c r="J178" s="4"/>
      <c r="K178" s="17"/>
      <c r="L178" s="17"/>
      <c r="M178" s="28"/>
      <c r="N178" s="3"/>
      <c r="O178" s="4"/>
    </row>
    <row r="179" spans="10:15" ht="21.75" customHeight="1">
      <c r="J179" s="4"/>
      <c r="K179" s="8"/>
      <c r="L179" s="8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>
      <c r="J181" s="4"/>
      <c r="K181" s="4"/>
      <c r="L181" s="4"/>
      <c r="M181" s="4"/>
      <c r="N181" s="3"/>
      <c r="O181" s="4"/>
    </row>
    <row r="182" spans="10:15">
      <c r="J182" s="4"/>
      <c r="K182" s="4"/>
      <c r="L182" s="4"/>
      <c r="M182" s="4"/>
      <c r="N182" s="3"/>
      <c r="O182" s="4"/>
    </row>
    <row r="183" spans="10:15">
      <c r="J183" s="4"/>
      <c r="K183" s="4"/>
      <c r="L183" s="4"/>
      <c r="M183" s="4"/>
      <c r="N183" s="3"/>
      <c r="O183" s="4"/>
    </row>
    <row r="184" spans="10:15">
      <c r="J184" s="4"/>
      <c r="K184" s="4"/>
      <c r="L184" s="4"/>
      <c r="M184" s="4"/>
      <c r="N184" s="3"/>
      <c r="O184" s="4"/>
    </row>
    <row r="185" spans="10:15">
      <c r="J185" s="4"/>
      <c r="K185" s="4"/>
      <c r="L185" s="4"/>
      <c r="M185" s="4"/>
      <c r="N185" s="3"/>
      <c r="O185" s="4"/>
    </row>
    <row r="186" spans="10:15">
      <c r="J186" s="4"/>
      <c r="K186" s="4"/>
      <c r="L186" s="4"/>
      <c r="M186" s="4"/>
      <c r="N186" s="3"/>
      <c r="O186" s="4"/>
    </row>
    <row r="187" spans="10:15">
      <c r="J187" s="4"/>
      <c r="K187" s="4"/>
      <c r="L187" s="4"/>
      <c r="M187" s="4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257</v>
      </c>
      <c r="D9" s="5" t="s">
        <v>73</v>
      </c>
      <c r="E9" s="19">
        <f>E13-SUM(E10:E12)</f>
        <v>30</v>
      </c>
      <c r="L9" s="61"/>
      <c r="M9" s="61"/>
      <c r="N9" s="61"/>
      <c r="O9" s="61"/>
      <c r="P9" s="61"/>
    </row>
    <row r="10" spans="1:16">
      <c r="A10" s="5" t="s">
        <v>276</v>
      </c>
      <c r="B10" s="29" t="s">
        <v>253</v>
      </c>
      <c r="D10" s="5" t="s">
        <v>4</v>
      </c>
      <c r="E10" s="21">
        <f>COUNTIF(TestScriptTable3[Result],"Passed")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240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 t="s">
        <v>316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242</v>
      </c>
      <c r="C21" s="13"/>
      <c r="D21" s="4" t="s">
        <v>37</v>
      </c>
      <c r="E21" s="4"/>
      <c r="F21" s="4" t="s">
        <v>243</v>
      </c>
      <c r="G21" s="4"/>
      <c r="H21" s="4" t="s">
        <v>41</v>
      </c>
      <c r="I21" s="4"/>
      <c r="J21" s="4"/>
      <c r="K21" s="4" t="s">
        <v>244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242</v>
      </c>
      <c r="C22" s="13"/>
      <c r="D22" s="4" t="s">
        <v>70</v>
      </c>
      <c r="E22" s="4" t="s">
        <v>49</v>
      </c>
      <c r="F22" s="4" t="s">
        <v>231</v>
      </c>
      <c r="G22" s="4" t="s">
        <v>245</v>
      </c>
      <c r="H22" s="4" t="s">
        <v>42</v>
      </c>
      <c r="I22" s="4"/>
      <c r="J22" s="4"/>
      <c r="K22" s="4" t="s">
        <v>246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242</v>
      </c>
      <c r="C23" s="13"/>
      <c r="D23" s="4" t="s">
        <v>70</v>
      </c>
      <c r="E23" s="4" t="s">
        <v>49</v>
      </c>
      <c r="F23" s="4" t="s">
        <v>232</v>
      </c>
      <c r="G23" s="4" t="s">
        <v>247</v>
      </c>
      <c r="H23" s="4" t="s">
        <v>42</v>
      </c>
      <c r="I23" s="4"/>
      <c r="J23" s="4"/>
      <c r="K23" s="4" t="s">
        <v>246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242</v>
      </c>
      <c r="C24" s="13"/>
      <c r="D24" s="4" t="s">
        <v>39</v>
      </c>
      <c r="E24" s="4" t="s">
        <v>49</v>
      </c>
      <c r="F24" s="4" t="s">
        <v>233</v>
      </c>
      <c r="G24" s="4"/>
      <c r="H24" s="4" t="s">
        <v>42</v>
      </c>
      <c r="I24" s="4"/>
      <c r="J24" s="4"/>
      <c r="K24" s="4" t="s">
        <v>255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242</v>
      </c>
      <c r="C25" s="13"/>
      <c r="D25" s="4" t="s">
        <v>70</v>
      </c>
      <c r="E25" s="4" t="s">
        <v>49</v>
      </c>
      <c r="F25" s="4" t="s">
        <v>234</v>
      </c>
      <c r="G25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PhantomJS_x000D_
baseurl : http://automationpractice.com_x000D_
window Width : 1366_x000D_
window Height : 768_x000D_
ScreenShot : c:\temp\SpreadSheetnium\sample_x000D_
_x000D_
/**************************/_x000D_
Not tested : 0_x000D_
Passed : 48_x000D_
Failed: 1_x000D_
Skipped : 1_x000D_
Total : 50_x000D_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254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248</v>
      </c>
      <c r="C27" s="13"/>
      <c r="D27" s="4" t="s">
        <v>37</v>
      </c>
      <c r="E27" s="4"/>
      <c r="F27" s="4" t="s">
        <v>249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248</v>
      </c>
      <c r="C28" s="13"/>
      <c r="D28" s="4" t="s">
        <v>37</v>
      </c>
      <c r="E28" s="4"/>
      <c r="F28" s="4" t="s">
        <v>250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248</v>
      </c>
      <c r="C29" s="13"/>
      <c r="D29" s="4" t="s">
        <v>70</v>
      </c>
      <c r="E29" s="4" t="s">
        <v>49</v>
      </c>
      <c r="F29" s="4" t="s">
        <v>235</v>
      </c>
      <c r="G29" s="4" t="s">
        <v>245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248</v>
      </c>
      <c r="C30" s="13"/>
      <c r="D30" s="4" t="s">
        <v>70</v>
      </c>
      <c r="E30" s="4" t="s">
        <v>49</v>
      </c>
      <c r="F30" s="4" t="s">
        <v>232</v>
      </c>
      <c r="G30" s="4" t="s">
        <v>247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248</v>
      </c>
      <c r="C31" s="13"/>
      <c r="D31" s="4" t="s">
        <v>39</v>
      </c>
      <c r="E31" s="4" t="s">
        <v>49</v>
      </c>
      <c r="F31" s="4" t="s">
        <v>236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248</v>
      </c>
      <c r="C32" s="13"/>
      <c r="D32" s="4" t="s">
        <v>37</v>
      </c>
      <c r="E32" s="4"/>
      <c r="F32" s="4" t="s">
        <v>251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248</v>
      </c>
      <c r="C33" s="13"/>
      <c r="D33" s="4" t="s">
        <v>70</v>
      </c>
      <c r="E33" s="4" t="s">
        <v>49</v>
      </c>
      <c r="F33" s="4" t="s">
        <v>237</v>
      </c>
      <c r="G33" s="4" t="s">
        <v>252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248</v>
      </c>
      <c r="C34" s="13"/>
      <c r="D34" s="4" t="s">
        <v>70</v>
      </c>
      <c r="E34" s="4" t="s">
        <v>49</v>
      </c>
      <c r="F34" s="4" t="s">
        <v>238</v>
      </c>
      <c r="G34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PhantomJS_x000D_
baseurl : http://automationpractice.com_x000D_
window Width : 1366_x000D_
window Height : 768_x000D_
ScreenShot : c:\temp\SpreadSheetnium\sample_x000D_
_x000D_
/**************************/_x000D_
Not tested : 0_x000D_
Passed : 48_x000D_
Failed: 1_x000D_
Skipped : 1_x000D_
Total : 50_x000D_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248</v>
      </c>
      <c r="C35" s="13"/>
      <c r="D35" s="4" t="s">
        <v>39</v>
      </c>
      <c r="E35" s="4" t="s">
        <v>49</v>
      </c>
      <c r="F35" s="4" t="s">
        <v>239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260</v>
      </c>
      <c r="C37" s="13"/>
      <c r="D37" s="4" t="s">
        <v>261</v>
      </c>
      <c r="E37" s="4"/>
      <c r="F37" s="4" t="s">
        <v>262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260</v>
      </c>
      <c r="C38" s="13"/>
      <c r="D38" s="4" t="s">
        <v>70</v>
      </c>
      <c r="E38" s="4" t="s">
        <v>263</v>
      </c>
      <c r="F38" s="4" t="s">
        <v>265</v>
      </c>
      <c r="G38" s="4" t="s">
        <v>245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260</v>
      </c>
      <c r="C39" s="13"/>
      <c r="D39" s="4" t="s">
        <v>39</v>
      </c>
      <c r="E39" s="4" t="s">
        <v>263</v>
      </c>
      <c r="F39" s="4" t="s">
        <v>266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260</v>
      </c>
      <c r="C40" s="13"/>
      <c r="D40" s="4" t="s">
        <v>70</v>
      </c>
      <c r="E40" s="4" t="s">
        <v>263</v>
      </c>
      <c r="F40" s="4" t="s">
        <v>264</v>
      </c>
      <c r="G40" s="4" t="s">
        <v>245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260</v>
      </c>
      <c r="C41" s="13"/>
      <c r="D41" s="4" t="s">
        <v>70</v>
      </c>
      <c r="E41" s="4" t="s">
        <v>263</v>
      </c>
      <c r="F41" s="4" t="s">
        <v>267</v>
      </c>
      <c r="G41" s="4" t="s">
        <v>247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260</v>
      </c>
      <c r="C42" s="13"/>
      <c r="D42" s="4" t="s">
        <v>39</v>
      </c>
      <c r="E42" s="4" t="s">
        <v>263</v>
      </c>
      <c r="F42" s="4" t="s">
        <v>268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260</v>
      </c>
      <c r="C43" s="13"/>
      <c r="D43" s="4" t="s">
        <v>39</v>
      </c>
      <c r="E43" s="4" t="s">
        <v>263</v>
      </c>
      <c r="F43" s="4" t="s">
        <v>273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260</v>
      </c>
      <c r="C44" s="13"/>
      <c r="D44" s="4" t="s">
        <v>39</v>
      </c>
      <c r="E44" s="4" t="s">
        <v>263</v>
      </c>
      <c r="F44" s="4" t="s">
        <v>274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260</v>
      </c>
      <c r="C45" s="13"/>
      <c r="D45" s="4" t="s">
        <v>70</v>
      </c>
      <c r="E45" s="4" t="s">
        <v>49</v>
      </c>
      <c r="F45" s="4" t="s">
        <v>269</v>
      </c>
      <c r="G45" s="4" t="s">
        <v>245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260</v>
      </c>
      <c r="C46" s="13"/>
      <c r="D46" s="4" t="s">
        <v>70</v>
      </c>
      <c r="E46" s="4" t="s">
        <v>49</v>
      </c>
      <c r="F46" s="4" t="s">
        <v>270</v>
      </c>
      <c r="G46" s="4" t="s">
        <v>271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260</v>
      </c>
      <c r="C47" s="13"/>
      <c r="D47" s="4" t="s">
        <v>70</v>
      </c>
      <c r="E47" s="4" t="s">
        <v>49</v>
      </c>
      <c r="F47" s="4" t="s">
        <v>272</v>
      </c>
      <c r="G47" s="2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PhantomJS_x000D_
baseurl : http://automationpractice.com_x000D_
window Width : 1366_x000D_
window Height : 768_x000D_
ScreenShot : c:\temp\SpreadSheetnium\sample_x000D_
_x000D_
/**************************/_x000D_
Not tested : 0_x000D_
Passed : 48_x000D_
Failed: 1_x000D_
Skipped : 1_x000D_
Total : 50_x000D_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260</v>
      </c>
      <c r="C48" s="13"/>
      <c r="D48" s="4" t="s">
        <v>39</v>
      </c>
      <c r="E48" s="4" t="s">
        <v>263</v>
      </c>
      <c r="F48" s="4" t="s">
        <v>275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LISTBOX_DATA!$B$1:$B$12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zoomScaleNormal="100" workbookViewId="0"/>
  </sheetViews>
  <sheetFormatPr defaultColWidth="9" defaultRowHeight="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226</v>
      </c>
      <c r="N1" s="48"/>
    </row>
    <row r="2" spans="1:16" s="47" customFormat="1">
      <c r="A2" s="49" t="s">
        <v>227</v>
      </c>
      <c r="N2" s="50"/>
    </row>
    <row r="3" spans="1:16" s="47" customFormat="1">
      <c r="A3" s="49" t="s">
        <v>319</v>
      </c>
      <c r="N3" s="50"/>
    </row>
    <row r="4" spans="1:16" s="47" customFormat="1">
      <c r="A4" s="51" t="s">
        <v>228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1"/>
      <c r="M9" s="61"/>
      <c r="N9" s="61"/>
      <c r="O9" s="61"/>
      <c r="P9" s="61"/>
    </row>
    <row r="10" spans="1:16">
      <c r="A10" s="5" t="s">
        <v>11</v>
      </c>
      <c r="B10" s="29" t="s">
        <v>253</v>
      </c>
      <c r="D10" s="5" t="s">
        <v>4</v>
      </c>
      <c r="E10" s="21">
        <f>COUNTIF(TestScriptTable12[Result],"Passed")</f>
        <v>0</v>
      </c>
      <c r="L10" s="61"/>
      <c r="M10" s="61"/>
      <c r="N10" s="61"/>
      <c r="O10" s="61"/>
      <c r="P10" s="61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1"/>
      <c r="M11" s="61"/>
      <c r="N11" s="61"/>
      <c r="O11" s="61"/>
      <c r="P11" s="61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1"/>
      <c r="M12" s="61"/>
      <c r="N12" s="61"/>
      <c r="O12" s="61"/>
      <c r="P12" s="61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1"/>
      <c r="M13" s="61"/>
      <c r="N13" s="61"/>
      <c r="O13" s="61"/>
      <c r="P13" s="61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1"/>
      <c r="M14" s="61"/>
      <c r="N14" s="61"/>
      <c r="O14" s="61"/>
      <c r="P14" s="61"/>
    </row>
    <row r="15" spans="1:16">
      <c r="A15" s="5" t="s">
        <v>240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  <c r="B17" s="9" t="s">
        <v>320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7" s="15" customFormat="1" ht="15.75">
      <c r="A19" s="14" t="s">
        <v>64</v>
      </c>
      <c r="B19" s="14" t="s">
        <v>317</v>
      </c>
      <c r="C19" s="14" t="s">
        <v>10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34</v>
      </c>
    </row>
    <row r="20" spans="1:17" ht="21.75" customHeight="1">
      <c r="A20" s="23" t="s">
        <v>76</v>
      </c>
      <c r="B20" s="1" t="s">
        <v>318</v>
      </c>
      <c r="C20" s="1" t="s">
        <v>229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297</v>
      </c>
      <c r="H20" s="4"/>
      <c r="I20" s="4" t="s">
        <v>44</v>
      </c>
      <c r="J20" s="4" t="s">
        <v>49</v>
      </c>
      <c r="K20" s="4" t="s">
        <v>230</v>
      </c>
      <c r="L20" s="4" t="s">
        <v>298</v>
      </c>
      <c r="M20" s="4"/>
      <c r="N20"/>
      <c r="O20" s="3"/>
      <c r="P20" s="4"/>
    </row>
    <row r="21" spans="1:17" ht="21.75" customHeight="1">
      <c r="A21" s="23" t="s">
        <v>76</v>
      </c>
      <c r="B21" s="1" t="s">
        <v>299</v>
      </c>
      <c r="C21" s="1" t="s">
        <v>229</v>
      </c>
      <c r="D21" s="1" t="str">
        <f t="shared" si="0"/>
        <v>checkLatest2</v>
      </c>
      <c r="E21" s="4" t="s">
        <v>37</v>
      </c>
      <c r="F21" s="4"/>
      <c r="G21" s="4" t="s">
        <v>300</v>
      </c>
      <c r="H21" s="4"/>
      <c r="I21" s="4" t="s">
        <v>44</v>
      </c>
      <c r="J21" s="4" t="s">
        <v>49</v>
      </c>
      <c r="K21" s="4" t="s">
        <v>230</v>
      </c>
      <c r="L21" s="4" t="s">
        <v>301</v>
      </c>
      <c r="M21" s="4"/>
      <c r="N21"/>
      <c r="O21" s="3"/>
      <c r="P21" s="4"/>
    </row>
    <row r="22" spans="1:17" ht="21.75" customHeight="1">
      <c r="A22" s="56" t="s">
        <v>76</v>
      </c>
      <c r="B22" s="57" t="s">
        <v>302</v>
      </c>
      <c r="C22" s="1" t="s">
        <v>229</v>
      </c>
      <c r="D22" s="1" t="str">
        <f t="shared" si="0"/>
        <v>checkLatest3</v>
      </c>
      <c r="E22" s="58" t="s">
        <v>37</v>
      </c>
      <c r="F22" s="58"/>
      <c r="G22" s="58" t="s">
        <v>303</v>
      </c>
      <c r="H22" s="58"/>
      <c r="I22" s="58" t="s">
        <v>44</v>
      </c>
      <c r="J22" s="58" t="s">
        <v>49</v>
      </c>
      <c r="K22" s="58" t="s">
        <v>304</v>
      </c>
      <c r="L22" s="58" t="s">
        <v>305</v>
      </c>
      <c r="M22" s="58"/>
      <c r="N22"/>
      <c r="O22" s="59"/>
      <c r="P22" s="58"/>
      <c r="Q22" s="57"/>
    </row>
    <row r="23" spans="1:17" ht="21.75" customHeight="1">
      <c r="A23" s="56" t="s">
        <v>76</v>
      </c>
      <c r="B23" s="1" t="s">
        <v>307</v>
      </c>
      <c r="C23" s="1" t="s">
        <v>321</v>
      </c>
      <c r="D23" s="1" t="str">
        <f t="shared" si="0"/>
        <v>checkLatest4</v>
      </c>
      <c r="E23" s="58" t="s">
        <v>37</v>
      </c>
      <c r="F23" s="4"/>
      <c r="G23" s="4" t="s">
        <v>306</v>
      </c>
      <c r="H23" s="4"/>
      <c r="I23" s="58" t="s">
        <v>44</v>
      </c>
      <c r="J23" s="58" t="s">
        <v>49</v>
      </c>
      <c r="K23" s="4" t="s">
        <v>309</v>
      </c>
      <c r="L23" s="4" t="s">
        <v>312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307</v>
      </c>
      <c r="C24" s="1" t="s">
        <v>322</v>
      </c>
      <c r="D24" s="1" t="str">
        <f t="shared" si="0"/>
        <v>checkLatest5</v>
      </c>
      <c r="E24" s="4" t="s">
        <v>308</v>
      </c>
      <c r="F24" s="4"/>
      <c r="G24" s="4"/>
      <c r="H24" s="4">
        <v>0</v>
      </c>
      <c r="I24" s="58" t="s">
        <v>44</v>
      </c>
      <c r="J24" s="58" t="s">
        <v>49</v>
      </c>
      <c r="K24" s="4" t="s">
        <v>310</v>
      </c>
      <c r="L24" s="4" t="s">
        <v>313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307</v>
      </c>
      <c r="C25" s="1" t="s">
        <v>323</v>
      </c>
      <c r="D25" s="1" t="str">
        <f t="shared" si="0"/>
        <v>checkLatest6</v>
      </c>
      <c r="E25" s="4" t="s">
        <v>308</v>
      </c>
      <c r="F25" s="4"/>
      <c r="G25" s="4"/>
      <c r="H25" s="4">
        <v>0</v>
      </c>
      <c r="I25" s="58" t="s">
        <v>44</v>
      </c>
      <c r="J25" s="58" t="s">
        <v>49</v>
      </c>
      <c r="K25" s="4" t="s">
        <v>311</v>
      </c>
      <c r="L25" s="4" t="s">
        <v>314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LISTBOX_DATA!$B$1:$B$12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2"/>
  <sheetViews>
    <sheetView zoomScaleNormal="100" workbookViewId="0"/>
  </sheetViews>
  <sheetFormatPr defaultColWidth="9" defaultRowHeight="15"/>
  <cols>
    <col min="1" max="1" width="9" style="1" customWidth="1"/>
    <col min="2" max="4" width="9" style="1"/>
    <col min="5" max="5" width="10.625" style="1" bestFit="1" customWidth="1"/>
    <col min="6" max="6" width="9" style="55"/>
    <col min="7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284</v>
      </c>
    </row>
    <row r="11" spans="1:6">
      <c r="B11" s="1" t="s">
        <v>17</v>
      </c>
    </row>
    <row r="12" spans="1:6">
      <c r="B12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sample_commandReference</vt:lpstr>
      <vt:lpstr>template</vt:lpstr>
      <vt:lpstr>BATCH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fj5620ja@aa.jp.fujitsu.com</cp:lastModifiedBy>
  <cp:lastPrinted>2016-12-17T04:39:22Z</cp:lastPrinted>
  <dcterms:created xsi:type="dcterms:W3CDTF">2016-12-07T07:53:01Z</dcterms:created>
  <dcterms:modified xsi:type="dcterms:W3CDTF">2017-01-11T06:10:41Z</dcterms:modified>
</cp:coreProperties>
</file>