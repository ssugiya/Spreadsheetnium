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git\Spreadsheetnium\"/>
    </mc:Choice>
  </mc:AlternateContent>
  <bookViews>
    <workbookView xWindow="0" yWindow="15" windowWidth="28800" windowHeight="12105"/>
  </bookViews>
  <sheets>
    <sheet name="sample_commandReference" sheetId="12" r:id="rId1"/>
    <sheet name="template" sheetId="4" r:id="rId2"/>
    <sheet name="BATCH_RUN" sheetId="5" r:id="rId3"/>
    <sheet name="CheckForUpdates" sheetId="11" r:id="rId4"/>
    <sheet name="LISTBOX_DATA" sheetId="2" r:id="rId5"/>
  </sheets>
  <definedNames>
    <definedName name="ActionTarget" localSheetId="3">TestScriptTable11[[#Headers],[ActionTarget]]</definedName>
    <definedName name="ActionTarget" localSheetId="0">TestScriptTable9[[#Headers],[ActionTarget]]</definedName>
    <definedName name="ActionTarget">TestScriptTable[[#Headers],[ActionTarget]]</definedName>
    <definedName name="ActionValue" localSheetId="3">TestScriptTable11[[#Headers],[ActionValue]]</definedName>
    <definedName name="ActionValue" localSheetId="0">TestScriptTable9[[#Headers],[ActionValue]]</definedName>
    <definedName name="ActionValue">TestScriptTable[[#Headers],[ActionValue]]</definedName>
    <definedName name="ActualResult" localSheetId="3">TestScriptTable11[[#Headers],[ActualResult]]</definedName>
    <definedName name="ActualResult" localSheetId="0">TestScriptTable9[[#Headers],[ActualResult]]</definedName>
    <definedName name="ActualResult">TestScriptTable[[#Headers],[ActualResult]]</definedName>
    <definedName name="baseURL" localSheetId="3">CheckForUpdates!$B$10</definedName>
    <definedName name="baseURL" localSheetId="0">sample_commandReference!$B$10</definedName>
    <definedName name="baseURL">template!$B$10</definedName>
    <definedName name="batchFailed" localSheetId="0">batchRunTBL[[#Headers],[Failed]]</definedName>
    <definedName name="batchFailed">batchRunTBL[[#Headers],[Failed]]</definedName>
    <definedName name="batchNotTested" localSheetId="0">batchRunTBL[[#Headers],[Not Tested]]</definedName>
    <definedName name="batchNotTested">batchRunTBL[[#Headers],[Not Tested]]</definedName>
    <definedName name="batchPassed" localSheetId="0">batchRunTBL[[#Headers],[Passed]]</definedName>
    <definedName name="batchPassed">batchRunTBL[[#Headers],[Passed]]</definedName>
    <definedName name="batchSkipped" localSheetId="0">batchRunTBL[[#Headers],[Skipped]]</definedName>
    <definedName name="batchSkipped">batchRunTBL[[#Headers],[Skipped]]</definedName>
    <definedName name="batchTarget" localSheetId="0">batchRunTBL[[#Headers],[run target]]</definedName>
    <definedName name="batchTarget">batchRunTBL[[#Headers],[run target]]</definedName>
    <definedName name="batchTotal" localSheetId="0">batchRunTBL[[#Headers],[Total]]</definedName>
    <definedName name="batchTotal">batchRunTBL[[#Headers],[Total]]</definedName>
    <definedName name="Command" localSheetId="3">TestScriptTable11[[#Headers],[Command]]</definedName>
    <definedName name="Command" localSheetId="0">TestScriptTable9[[#Headers],[Command]]</definedName>
    <definedName name="Command">TestScriptTable[[#Headers],[Command]]</definedName>
    <definedName name="DeleteCookie" localSheetId="3">CheckForUpdates!$B$14</definedName>
    <definedName name="DeleteCookie" localSheetId="0">sample_commandReference!$B$14</definedName>
    <definedName name="DeleteCookie">template!$B$14</definedName>
    <definedName name="Description" localSheetId="3">TestScriptTable11[[#Headers],[Description]]</definedName>
    <definedName name="Description" localSheetId="0">TestScriptTable9[[#Headers],[Description]]</definedName>
    <definedName name="Description">TestScriptTable[[#Headers],[Description]]</definedName>
    <definedName name="Error_Message" localSheetId="3">TestScriptTable11[[#Headers],[ErrorMessage]]</definedName>
    <definedName name="Error_Message" localSheetId="0">TestScriptTable9[[#Headers],[ErrorMessage]]</definedName>
    <definedName name="Error_Message">TestScriptTable[[#Headers],[ErrorMessage]]</definedName>
    <definedName name="ExpectedResult" localSheetId="3">TestScriptTable11[[#Headers],[ExpectedResult]]</definedName>
    <definedName name="ExpectedResult" localSheetId="0">TestScriptTable9[[#Headers],[ExpectedResult]]</definedName>
    <definedName name="ExpectedResult">TestScriptTable[[#Headers],[ExpectedResult]]</definedName>
    <definedName name="FindMethod" localSheetId="3">TestScriptTable11[[#Headers],[FindMethod]]</definedName>
    <definedName name="FindMethod" localSheetId="0">TestScriptTable9[[#Headers],[FindMethod]]</definedName>
    <definedName name="FindMethod">TestScriptTable[[#Headers],[FindMethod]]</definedName>
    <definedName name="LastUpdate" localSheetId="3">TestScriptTable11[[#Headers],[LastUpdate]]</definedName>
    <definedName name="LastUpdate" localSheetId="0">TestScriptTable9[[#Headers],[LastUpdate]]</definedName>
    <definedName name="LastUpdate">TestScriptTable[[#Headers],[LastUpdate]]</definedName>
    <definedName name="Memo" localSheetId="3">TestScriptTable11[[#Headers],[Memo]]</definedName>
    <definedName name="Memo" localSheetId="0">TestScriptTable9[[#Headers],[Memo]]</definedName>
    <definedName name="Memo">TestScriptTable[[#Headers],[Memo]]</definedName>
    <definedName name="Result" localSheetId="3">TestScriptTable11[[#Headers],[Result]]</definedName>
    <definedName name="Result" localSheetId="0">TestScriptTable9[[#Headers],[Result]]</definedName>
    <definedName name="Result">TestScriptTable[[#Headers],[Result]]</definedName>
    <definedName name="ResultsSummary">BATCH_RUN!$A$16</definedName>
    <definedName name="runTarget" localSheetId="3">TestScriptTable11[[#Headers],[runTarget]]</definedName>
    <definedName name="runTarget" localSheetId="0">TestScriptTable9[[#Headers],[runTarget]]</definedName>
    <definedName name="runTarget">TestScriptTable[[#Headers],[runTarget]]</definedName>
    <definedName name="ScreenshotPath" localSheetId="3">CheckForUpdates!$B$13</definedName>
    <definedName name="ScreenshotPath" localSheetId="0">sample_commandReference!$B$13</definedName>
    <definedName name="ScreenshotPath">template!$B$13</definedName>
    <definedName name="scriptID" localSheetId="3">TestScriptTable11[[#Headers],[scriptID]]</definedName>
    <definedName name="scriptID" localSheetId="0">TestScriptTable9[[#Headers],[scriptID]]</definedName>
    <definedName name="scriptID">TestScriptTable[[#Headers],[scriptID]]</definedName>
    <definedName name="SheetName" localSheetId="0">batchRunTBL[[#Headers],[SheetName]]</definedName>
    <definedName name="SheetName">batchRunTBL[[#Headers],[SheetName]]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0">sample_commandReference!$B$9</definedName>
    <definedName name="targetBrowser">template!$B$9</definedName>
    <definedName name="TestScriptLabel" localSheetId="3">CheckForUpdates!$A$17</definedName>
    <definedName name="TestScriptLabel" localSheetId="0">sample_commandReference!$A$17</definedName>
    <definedName name="TestScriptLabel">template!$A$17</definedName>
    <definedName name="VerificationCommand" localSheetId="3">TestScriptTable11[[#Headers],[VerificationCommand]]</definedName>
    <definedName name="VerificationCommand" localSheetId="0">TestScriptTable9[[#Headers],[VerificationCommand]]</definedName>
    <definedName name="VerificationCommand">TestScriptTable[[#Headers],[VerificationCommand]]</definedName>
    <definedName name="Verificationmethod" localSheetId="3">TestScriptTable11[[#Headers],[Verificationmethod]]</definedName>
    <definedName name="Verificationmethod" localSheetId="0">TestScriptTable9[[#Headers],[Verificationmethod]]</definedName>
    <definedName name="Verificationmethod">TestScriptTable[[#Headers],[Verificationmethod]]</definedName>
    <definedName name="VerificationTarget" localSheetId="3">TestScriptTable11[[#Headers],[VerificationTarget]]</definedName>
    <definedName name="VerificationTarget" localSheetId="0">TestScriptTable9[[#Headers],[VerificationTarget]]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0">sample_commandReference!$B$12</definedName>
    <definedName name="windowSizeH">template!$B$12</definedName>
    <definedName name="windowSizeW" localSheetId="3">CheckForUpdates!$B$11</definedName>
    <definedName name="windowSizeW" localSheetId="0">sample_commandReference!$B$11</definedName>
    <definedName name="windowSizeW">template!$B$11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1" l="1"/>
  <c r="C21" i="11" l="1"/>
  <c r="C20" i="11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G51" i="12"/>
  <c r="C51" i="12"/>
  <c r="G50" i="12"/>
  <c r="C50" i="12"/>
  <c r="G49" i="12"/>
  <c r="C49" i="12"/>
  <c r="G48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E13" i="12"/>
  <c r="E12" i="12"/>
  <c r="E11" i="12"/>
  <c r="E10" i="12"/>
  <c r="E9" i="12" l="1"/>
  <c r="E14" i="12" s="1"/>
  <c r="B13" i="5"/>
  <c r="B9" i="5"/>
  <c r="B12" i="5"/>
  <c r="B11" i="5"/>
  <c r="B10" i="5"/>
  <c r="B14" i="5" l="1"/>
  <c r="E13" i="11"/>
  <c r="E12" i="11"/>
  <c r="E11" i="11"/>
  <c r="E10" i="11"/>
  <c r="E9" i="11" l="1"/>
  <c r="E14" i="11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<sst xmlns="http://schemas.openxmlformats.org/spreadsheetml/2006/main" count="525" uniqueCount="199">
  <si>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</si>
  <si>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</si>
  <si>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</si>
  <si>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</si>
  <si>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</si>
  <si>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</si>
  <si>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</si>
  <si>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</si>
  <si>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</si>
  <si>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</si>
  <si>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</si>
  <si>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</si>
  <si>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</si>
  <si>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</si>
  <si>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</si>
  <si>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</si>
  <si>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</si>
  <si>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</si>
  <si>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</si>
  <si>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</si>
  <si>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</si>
  <si>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</si>
  <si>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</si>
  <si>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</si>
  <si>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</si>
  <si>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</si>
  <si>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</si>
  <si>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</si>
  <si>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</si>
  <si>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</si>
  <si>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</si>
  <si>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</si>
  <si>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</si>
  <si>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</si>
  <si>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</si>
  <si>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</si>
  <si>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</si>
  <si>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</si>
  <si>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</si>
  <si>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</si>
  <si>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</si>
  <si>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Title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</si>
  <si>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</si>
  <si>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</si>
  <si>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</si>
  <si>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</si>
  <si>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</si>
  <si>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</si>
  <si>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/index.php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</si>
  <si>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</si>
  <si>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</si>
  <si>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</si>
  <si>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</si>
  <si>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</si>
  <si>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</si>
  <si>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</si>
  <si>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</si>
  <si>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</si>
  <si>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</si>
  <si>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</si>
  <si>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</si>
  <si>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</si>
  <si>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</si>
  <si>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</si>
  <si>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</si>
  <si>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</si>
  <si>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</si>
  <si>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</si>
  <si>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</si>
  <si>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</si>
  <si>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</si>
  <si>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ul.sf-menu.clearfix.menu-content.sf-js-enabled.sf-arrows &gt; li:nth-of-type(1) &gt; a.sf-with-ul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</si>
  <si>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</si>
  <si>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</si>
  <si>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</si>
  <si>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</si>
  <si>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</si>
  <si>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</si>
  <si>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</si>
  <si>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</si>
  <si>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</si>
  <si>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</si>
  <si>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c:\temp\SpreadSheetnium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</si>
  <si>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</si>
  <si>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</si>
  <si>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</si>
  <si>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</si>
  <si>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</si>
  <si>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</si>
  <si>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ul.tree.dynamized &gt; li.last &gt; a</t>
    <phoneticPr fontId="1"/>
  </si>
  <si>
    <t>contact-link</t>
    <phoneticPr fontId="1"/>
  </si>
  <si>
    <t>Terms and conditions of use</t>
    <phoneticPr fontId="1"/>
  </si>
  <si>
    <t>submitNewsletter</t>
    <phoneticPr fontId="1"/>
  </si>
  <si>
    <t>//ul[@id='home-page-tabs']//a[.='Best Sellers']</t>
    <phoneticPr fontId="1"/>
  </si>
  <si>
    <t>header_logo</t>
    <phoneticPr fontId="1"/>
  </si>
  <si>
    <t>#search_query_top</t>
    <phoneticPr fontId="1"/>
  </si>
  <si>
    <t>search_query_top</t>
    <phoneticPr fontId="1"/>
  </si>
  <si>
    <t>search_query</t>
    <phoneticPr fontId="1"/>
  </si>
  <si>
    <t>//input[@id='search_query_top']</t>
    <phoneticPr fontId="1"/>
  </si>
  <si>
    <t>Women - My Store</t>
  </si>
  <si>
    <t>Terms and conditions of use - My Store</t>
  </si>
  <si>
    <t>http://automationpractice.com/index.php</t>
  </si>
  <si>
    <t>email</t>
    <phoneticPr fontId="1"/>
  </si>
  <si>
    <t>sendKeys_css</t>
    <phoneticPr fontId="1"/>
  </si>
  <si>
    <t>sendKeys_id</t>
  </si>
  <si>
    <t>sendKeys_name</t>
  </si>
  <si>
    <t>sendKeys_xpath</t>
  </si>
  <si>
    <t>c:\temp\screenshot</t>
    <phoneticPr fontId="1"/>
  </si>
  <si>
    <t>/index.php?controller=authentication&amp;back=my-account</t>
    <phoneticPr fontId="1"/>
  </si>
  <si>
    <t>Css</t>
    <phoneticPr fontId="1"/>
  </si>
  <si>
    <t>#email_create</t>
    <phoneticPr fontId="1"/>
  </si>
  <si>
    <t>spreadsheetnium@example.com</t>
    <phoneticPr fontId="1"/>
  </si>
  <si>
    <t>Click</t>
    <phoneticPr fontId="1"/>
  </si>
  <si>
    <t>#SubmitCreate &gt; span</t>
    <phoneticPr fontId="1"/>
  </si>
  <si>
    <t>div.clearfix &gt; div:nth-of-type(2) &gt; label.top &gt; div.radio &gt; span &gt; input</t>
    <phoneticPr fontId="1"/>
  </si>
  <si>
    <t>id_gender1</t>
    <phoneticPr fontId="1"/>
  </si>
  <si>
    <t>id_gender</t>
    <phoneticPr fontId="1"/>
  </si>
  <si>
    <t>Login - My Store</t>
    <phoneticPr fontId="1"/>
  </si>
  <si>
    <t>Contact us - My Store</t>
  </si>
  <si>
    <t>//*[@id="id_gender1"]</t>
    <phoneticPr fontId="1"/>
  </si>
  <si>
    <t>#days</t>
  </si>
  <si>
    <t>months</t>
    <phoneticPr fontId="1"/>
  </si>
  <si>
    <t>years</t>
    <phoneticPr fontId="1"/>
  </si>
  <si>
    <t>//*[@id="days"]</t>
    <phoneticPr fontId="1"/>
  </si>
  <si>
    <t>http://automationpractice.com/index.php?controller=authentication&amp;back=my-account#account-creation</t>
  </si>
  <si>
    <t xml:space="preserve">1974  </t>
    <phoneticPr fontId="1"/>
  </si>
  <si>
    <t xml:space="preserve">1  </t>
    <phoneticPr fontId="1"/>
  </si>
  <si>
    <t>span.shop-phone &gt; strong</t>
    <phoneticPr fontId="1"/>
  </si>
  <si>
    <t>0123-456-789</t>
    <phoneticPr fontId="1"/>
  </si>
  <si>
    <t>manufacturer_list</t>
    <phoneticPr fontId="1"/>
  </si>
  <si>
    <t>/index.php?controller=sitemap</t>
    <phoneticPr fontId="1"/>
  </si>
  <si>
    <t>//*[@id="listpage_content"]/div[2]/div</t>
    <phoneticPr fontId="1"/>
  </si>
  <si>
    <t>Home</t>
    <phoneticPr fontId="1"/>
  </si>
  <si>
    <t>Contact us</t>
  </si>
  <si>
    <t>456-789</t>
    <phoneticPr fontId="1"/>
  </si>
  <si>
    <t>Contact</t>
    <phoneticPr fontId="1"/>
  </si>
  <si>
    <t>All manufacturers</t>
    <phoneticPr fontId="1"/>
  </si>
  <si>
    <t>PAGES
Home
Delivery
Legal Notice
Terms and conditions of use
About us
Secure payment
Contact</t>
    <phoneticPr fontId="1"/>
  </si>
  <si>
    <t>Contact.*</t>
    <phoneticPr fontId="1"/>
  </si>
  <si>
    <t>All manufacturers.*</t>
    <phoneticPr fontId="1"/>
  </si>
  <si>
    <t>.*Home.*</t>
    <phoneticPr fontId="1"/>
  </si>
  <si>
    <t>Sitemap - My Store</t>
  </si>
  <si>
    <t>0123-456-[0-9]{3}</t>
    <phoneticPr fontId="1"/>
  </si>
  <si>
    <t>All manufacturersFashion Manufacturer</t>
  </si>
  <si>
    <t>Passed</t>
  </si>
  <si>
    <t>Failed</t>
  </si>
  <si>
    <t xml:space="preserve">10  </t>
    <phoneticPr fontId="1"/>
  </si>
  <si>
    <t xml:space="preserve">July </t>
    <phoneticPr fontId="1"/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</si>
  <si>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</si>
  <si>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</si>
  <si>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</si>
  <si>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</si>
  <si>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</si>
  <si>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</si>
  <si>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</si>
  <si>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</si>
  <si>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https://github.com</t>
    <phoneticPr fontId="1"/>
  </si>
  <si>
    <t>/ssugiya/Spreadsheetnium/releases/latest</t>
    <phoneticPr fontId="1"/>
  </si>
  <si>
    <t>Check latest release of Spreadsheetnium</t>
    <phoneticPr fontId="1"/>
  </si>
  <si>
    <t>h1.release-title &gt; a</t>
    <phoneticPr fontId="1"/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</si>
  <si>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</si>
  <si>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</si>
  <si>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</si>
  <si>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</si>
  <si>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https://github.com/ssugiya/Spreadsheetnium/releases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</si>
  <si>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</si>
  <si>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</si>
  <si>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</si>
  <si>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check latest release</t>
    <phoneticPr fontId="1"/>
  </si>
  <si>
    <t>Click element (do not need Action Value)</t>
    <phoneticPr fontId="1"/>
  </si>
  <si>
    <t>Point element(do not need Action Value)</t>
    <phoneticPr fontId="1"/>
  </si>
  <si>
    <t>Back to prev page (do not need any params)</t>
    <phoneticPr fontId="1"/>
  </si>
  <si>
    <t>Open page(antion target need)</t>
    <phoneticPr fontId="1"/>
  </si>
  <si>
    <t>Type from keyboard</t>
    <phoneticPr fontId="1"/>
  </si>
  <si>
    <t>Point element(do not need Action Value)</t>
    <phoneticPr fontId="1"/>
  </si>
  <si>
    <t>Click radio(do not need Action Value)</t>
    <phoneticPr fontId="1"/>
  </si>
  <si>
    <t>choice select box</t>
    <phoneticPr fontId="1"/>
  </si>
  <si>
    <t>Take screenshot(do not need Findmethod)</t>
    <phoneticPr fontId="1"/>
  </si>
  <si>
    <t>Verify expected keyword is contained in Actual</t>
    <phoneticPr fontId="1"/>
  </si>
  <si>
    <t>Verify expected keyword is equals to Actual</t>
    <phoneticPr fontId="1"/>
  </si>
  <si>
    <t>Verify expected and actual by Regular expression</t>
    <phoneticPr fontId="1"/>
  </si>
  <si>
    <t>run target</t>
    <phoneticPr fontId="1"/>
  </si>
  <si>
    <t>Ready to run</t>
  </si>
  <si>
    <t>sample_commandReference</t>
  </si>
  <si>
    <t>template</t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</si>
  <si>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</si>
  <si>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</si>
  <si>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</si>
  <si>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</si>
  <si>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</si>
  <si>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</si>
  <si>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Prease download latest files from github if you failed this script.</t>
    <phoneticPr fontId="1"/>
  </si>
  <si>
    <t>You can check for update with press [Run Test Script] button.</t>
    <phoneticPr fontId="1"/>
  </si>
  <si>
    <t>TestScript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</si>
  <si>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</si>
  <si>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</si>
  <si>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</si>
  <si>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</si>
  <si>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v0.0.3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</si>
</sst>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9" borderId="0" xfId="1" applyFont="1" applyFill="1" applyBorder="1" applyAlignment="1">
      <alignment horizontal="left" vertical="center" indent="1"/>
    </xf>
    <xf numFmtId="0" fontId="11" fillId="11" borderId="0" xfId="0" applyFont="1" applyFill="1" applyBorder="1" applyAlignment="1">
      <alignment vertical="center" shrinkToFit="1"/>
    </xf>
    <xf numFmtId="0" fontId="11" fillId="11" borderId="0" xfId="0" applyFont="1" applyFill="1" applyBorder="1" applyAlignment="1">
      <alignment vertical="center"/>
    </xf>
    <xf numFmtId="0" fontId="9" fillId="11" borderId="0" xfId="0" applyFont="1" applyFill="1" applyBorder="1" applyAlignment="1">
      <alignment vertical="center" shrinkToFit="1"/>
    </xf>
    <xf numFmtId="0" fontId="9" fillId="11" borderId="0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13"/>
    </tableStyle>
    <tableStyle name="テーブル スタイル 2" pivot="0" count="1">
      <tableStyleElement type="wholeTable" dxfId="112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F6B-421B-AC3E-FE9D67D6C822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F6B-421B-AC3E-FE9D67D6C8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F6B-421B-AC3E-FE9D67D6C822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EF6B-421B-AC3E-FE9D67D6C822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F6B-421B-AC3E-FE9D67D6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4AA-4DC7-883F-EE9146A6886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4AA-4DC7-883F-EE9146A6886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4AA-4DC7-883F-EE9146A6886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4AA-4DC7-883F-EE9146A6886E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4AA-4DC7-883F-EE9146A6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1048567</xdr:colOff>
      <xdr:row>7</xdr:row>
      <xdr:rowOff>148287</xdr:rowOff>
    </xdr:from>
    <xdr:to>
      <xdr:col>9</xdr:col>
      <xdr:colOff>353674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78DD39AD-FE94-4537-9172-3B6C16EB9A7E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7B495293-1674-42D1-B238-90901F7B8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1048567</xdr:colOff>
      <xdr:row>10</xdr:row>
      <xdr:rowOff>115230</xdr:rowOff>
    </xdr:from>
    <xdr:to>
      <xdr:col>9</xdr:col>
      <xdr:colOff>353674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5E487CD1-F429-4E17-9B35-11E277D4DBB4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607218</xdr:colOff>
      <xdr:row>7</xdr:row>
      <xdr:rowOff>53577</xdr:rowOff>
    </xdr:from>
    <xdr:ext cx="3220641" cy="264560"/>
    <xdr:sp macro="" textlink="">
      <xdr:nvSpPr>
        <xdr:cNvPr id="5" name="テキスト ボックス 4"/>
        <xdr:cNvSpPr txBox="1"/>
      </xdr:nvSpPr>
      <xdr:spPr>
        <a:xfrm>
          <a:off x="10679906" y="1607343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/>
        <xdr:cNvSpPr txBox="1"/>
      </xdr:nvSpPr>
      <xdr:spPr>
        <a:xfrm>
          <a:off x="10582278" y="161924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71707</xdr:colOff>
      <xdr:row>11</xdr:row>
      <xdr:rowOff>35488</xdr:rowOff>
    </xdr:from>
    <xdr:to>
      <xdr:col>8</xdr:col>
      <xdr:colOff>370226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62534</xdr:colOff>
      <xdr:row>7</xdr:row>
      <xdr:rowOff>111593</xdr:rowOff>
    </xdr:from>
    <xdr:to>
      <xdr:col>8</xdr:col>
      <xdr:colOff>342003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336688</xdr:colOff>
      <xdr:row>6</xdr:row>
      <xdr:rowOff>168137</xdr:rowOff>
    </xdr:from>
    <xdr:to>
      <xdr:col>4</xdr:col>
      <xdr:colOff>335372</xdr:colOff>
      <xdr:row>14</xdr:row>
      <xdr:rowOff>156930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xmlns="" id="{2D335635-6A82-4562-AAEC-C93E53C1B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1028138</xdr:colOff>
      <xdr:row>7</xdr:row>
      <xdr:rowOff>148287</xdr:rowOff>
    </xdr:from>
    <xdr:to>
      <xdr:col>9</xdr:col>
      <xdr:colOff>336177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295A1102-EC01-4EAA-A0D1-83B96E43DB4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xmlns="" id="{0D637347-27BA-4E2D-AD65-21500656B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1028138</xdr:colOff>
      <xdr:row>10</xdr:row>
      <xdr:rowOff>115230</xdr:rowOff>
    </xdr:from>
    <xdr:to>
      <xdr:col>9</xdr:col>
      <xdr:colOff>336177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xmlns="" id="{D194BF29-BD0C-4817-B8FD-B3EAD3FBA6C0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oneCellAnchor>
    <xdr:from>
      <xdr:col>9</xdr:col>
      <xdr:colOff>562028</xdr:colOff>
      <xdr:row>7</xdr:row>
      <xdr:rowOff>76189</xdr:rowOff>
    </xdr:from>
    <xdr:ext cx="3220641" cy="264560"/>
    <xdr:sp macro="" textlink="">
      <xdr:nvSpPr>
        <xdr:cNvPr id="5" name="テキスト ボックス 4"/>
        <xdr:cNvSpPr txBox="1"/>
      </xdr:nvSpPr>
      <xdr:spPr>
        <a:xfrm>
          <a:off x="10649003" y="1638289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id="8" name="TestScriptTable9" displayName="TestScriptTable9" ref="A19:P64" totalsRowShown="0" headerRowDxfId="111" dataDxfId="110" tableBorderDxfId="109">
  <autoFilter ref="A19:P64"/>
  <tableColumns count="16">
    <tableColumn id="1" name="runTarget" dataDxfId="108"/>
    <tableColumn id="2" name="Description" dataDxfId="107"/>
    <tableColumn id="17" name="scriptID" dataDxfId="106">
      <calculatedColumnFormula>"Script"&amp;ROW()-19</calculatedColumnFormula>
    </tableColumn>
    <tableColumn id="3" name="Command" dataDxfId="105"/>
    <tableColumn id="4" name="FindMethod" dataDxfId="104"/>
    <tableColumn id="5" name="ActionTarget" dataDxfId="103"/>
    <tableColumn id="6" name="ActionValue" dataDxfId="102"/>
    <tableColumn id="7" name="VerificationCommand" dataDxfId="101"/>
    <tableColumn id="8" name="Verificationmethod" dataDxfId="100"/>
    <tableColumn id="9" name="VerificationTarget" dataDxfId="99"/>
    <tableColumn id="10" name="ExpectedResult" dataDxfId="98"/>
    <tableColumn id="11" name="ActualResult" dataDxfId="97"/>
    <tableColumn id="12" name="Result" dataDxfId="96"/>
    <tableColumn id="13" name="LastUpdate" dataDxfId="95"/>
    <tableColumn id="14" name="ErrorMessage" dataDxfId="94"/>
    <tableColumn id="15" name="Memo" dataDxfId="93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4" totalsRowShown="0" headerRowDxfId="92" dataDxfId="91">
  <autoFilter ref="A8:B14"/>
  <tableColumns count="2">
    <tableColumn id="1" name="Key" dataDxfId="90"/>
    <tableColumn id="2" name="Value" dataDxfId="89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4" name="ResultsSummaryTable15" displayName="ResultsSummaryTable15" ref="D8:E14" totalsRowShown="0" headerRowDxfId="88" dataDxfId="87">
  <autoFilter ref="D8:E14"/>
  <tableColumns count="2">
    <tableColumn id="1" name="Status" dataDxfId="86"/>
    <tableColumn id="2" name="Count" dataDxfId="85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84" dataDxfId="83" tableBorderDxfId="82">
  <autoFilter ref="A19:P29"/>
  <tableColumns count="16">
    <tableColumn id="1" name="runTarget" dataDxfId="81"/>
    <tableColumn id="2" name="Description" dataDxfId="80"/>
    <tableColumn id="17" name="scriptID" dataDxfId="79"/>
    <tableColumn id="3" name="Command" dataDxfId="78"/>
    <tableColumn id="4" name="FindMethod" dataDxfId="77"/>
    <tableColumn id="5" name="ActionTarget" dataDxfId="76"/>
    <tableColumn id="6" name="ActionValue" dataDxfId="75"/>
    <tableColumn id="7" name="VerificationCommand" dataDxfId="74"/>
    <tableColumn id="8" name="Verificationmethod" dataDxfId="73"/>
    <tableColumn id="9" name="VerificationTarget" dataDxfId="72"/>
    <tableColumn id="10" name="ExpectedResult" dataDxfId="71"/>
    <tableColumn id="11" name="ActualResult" dataDxfId="70"/>
    <tableColumn id="12" name="Result" dataDxfId="69"/>
    <tableColumn id="13" name="LastUpdate" dataDxfId="68"/>
    <tableColumn id="14" name="ErrorMessage" dataDxfId="67"/>
    <tableColumn id="15" name="Memo" dataDxfId="66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4" totalsRowShown="0" headerRowDxfId="65" dataDxfId="64">
  <autoFilter ref="A8:B14"/>
  <tableColumns count="2">
    <tableColumn id="1" name="Key" dataDxfId="63"/>
    <tableColumn id="2" name="Value" dataDxfId="62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61" dataDxfId="60">
  <autoFilter ref="D8:E14"/>
  <tableColumns count="2">
    <tableColumn id="1" name="Status" dataDxfId="59"/>
    <tableColumn id="2" name="Count" dataDxfId="58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3" name="batchRunTBL" displayName="batchRunTBL" ref="A17:I19" totalsRowShown="0" headerRowDxfId="57" dataDxfId="56">
  <autoFilter ref="A17:I19"/>
  <tableColumns count="9">
    <tableColumn id="1" name="run target" dataDxfId="55"/>
    <tableColumn id="2" name="SheetName" dataDxfId="54"/>
    <tableColumn id="3" name="Not Tested" dataDxfId="53"/>
    <tableColumn id="4" name="Passed" dataDxfId="52"/>
    <tableColumn id="5" name="Failed" dataDxfId="51"/>
    <tableColumn id="6" name="Skipped" dataDxfId="50"/>
    <tableColumn id="7" name="Total" dataDxfId="49"/>
    <tableColumn id="8" name="Status" dataDxfId="48"/>
    <tableColumn id="9" name="Lastupdate" dataDxfId="47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8:B14" totalsRowShown="0" headerRowDxfId="46" dataDxfId="45">
  <autoFilter ref="A8:B14"/>
  <tableColumns count="2">
    <tableColumn id="1" name="Status" dataDxfId="44"/>
    <tableColumn id="2" name="Count" dataDxfId="43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0" name="TestScriptTable11" displayName="TestScriptTable11" ref="A19:P21" totalsRowShown="0" headerRowDxfId="42" dataDxfId="41" tableBorderDxfId="40">
  <autoFilter ref="A19:P21"/>
  <tableColumns count="16">
    <tableColumn id="1" name="runTarget" dataDxfId="39" totalsRowDxfId="38"/>
    <tableColumn id="2" name="Description" dataDxfId="37" totalsRowDxfId="36"/>
    <tableColumn id="17" name="scriptID" dataDxfId="35" totalsRowDxfId="34">
      <calculatedColumnFormula>"checkLatest"&amp;ROW()-19</calculatedColumnFormula>
    </tableColumn>
    <tableColumn id="3" name="Command" dataDxfId="33" totalsRowDxfId="32"/>
    <tableColumn id="4" name="FindMethod" dataDxfId="31" totalsRowDxfId="30"/>
    <tableColumn id="5" name="ActionTarget" dataDxfId="29" totalsRowDxfId="28"/>
    <tableColumn id="6" name="ActionValue" dataDxfId="27" totalsRowDxfId="26"/>
    <tableColumn id="7" name="VerificationCommand" dataDxfId="25" totalsRowDxfId="24"/>
    <tableColumn id="8" name="Verificationmethod" dataDxfId="23" totalsRowDxfId="22"/>
    <tableColumn id="9" name="VerificationTarget" dataDxfId="21" totalsRowDxfId="20"/>
    <tableColumn id="10" name="ExpectedResult" dataDxfId="19" totalsRowDxfId="18"/>
    <tableColumn id="11" name="ActualResult" dataDxfId="17" totalsRowDxfId="16"/>
    <tableColumn id="12" name="Result" dataDxfId="15" totalsRowDxfId="14"/>
    <tableColumn id="13" name="LastUpdate" dataDxfId="13" totalsRowDxfId="12"/>
    <tableColumn id="14" name="ErrorMessage" dataDxfId="11" totalsRowDxfId="10"/>
    <tableColumn id="15" name="Memo" dataDxfId="9" totalsRowDxfId="8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1" name="SettingsTable12" displayName="SettingsTable12" ref="A8:B14" totalsRowShown="0" headerRowDxfId="7" dataDxfId="6">
  <autoFilter ref="A8:B14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12" name="ResultsSummaryTable13" displayName="ResultsSummaryTable13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ssugiya/Spreadsheetnium/releases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tabSelected="1" zoomScaleNormal="100" workbookViewId="0"/>
  </sheetViews>
  <sheetFormatPr defaultColWidth="9" defaultRowHeight="14.25" x14ac:dyDescent="0.25"/>
  <cols>
    <col min="1" max="1" width="14.1328125" style="1" customWidth="1"/>
    <col min="2" max="2" width="31.46484375" style="1" customWidth="1"/>
    <col min="3" max="3" width="9.398437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14.73046875" style="1" customWidth="1"/>
    <col min="16" max="16" width="15.46484375" style="1" customWidth="1"/>
    <col min="17" max="16384" width="9" style="1"/>
  </cols>
  <sheetData>
    <row r="1" spans="1:15" s="48" customFormat="1" ht="30.75" x14ac:dyDescent="0.25">
      <c r="A1" s="47" t="s">
        <v>167</v>
      </c>
      <c r="F1" s="63"/>
      <c r="N1" s="49"/>
    </row>
    <row r="2" spans="1:15" s="48" customFormat="1" x14ac:dyDescent="0.25">
      <c r="A2" s="50" t="s">
        <v>189</v>
      </c>
      <c r="N2" s="51"/>
    </row>
    <row r="3" spans="1:15" s="48" customFormat="1" x14ac:dyDescent="0.25">
      <c r="A3" s="50" t="s">
        <v>188</v>
      </c>
      <c r="N3" s="51"/>
    </row>
    <row r="4" spans="1:15" s="48" customFormat="1" x14ac:dyDescent="0.25">
      <c r="A4" s="50" t="s">
        <v>190</v>
      </c>
      <c r="N4" s="51"/>
    </row>
    <row r="6" spans="1:15" x14ac:dyDescent="0.25">
      <c r="O6" s="5"/>
    </row>
    <row r="7" spans="1:15" ht="21" x14ac:dyDescent="0.25">
      <c r="A7" s="12" t="s">
        <v>65</v>
      </c>
      <c r="D7" s="12" t="s">
        <v>9</v>
      </c>
      <c r="N7" s="4"/>
      <c r="O7" s="5"/>
    </row>
    <row r="8" spans="1:15" x14ac:dyDescent="0.25">
      <c r="A8" s="6" t="s">
        <v>58</v>
      </c>
      <c r="B8" s="1" t="s">
        <v>61</v>
      </c>
      <c r="D8" s="6" t="s">
        <v>59</v>
      </c>
      <c r="E8" s="8" t="s">
        <v>60</v>
      </c>
      <c r="M8" s="2"/>
      <c r="N8" s="1"/>
    </row>
    <row r="9" spans="1:15" x14ac:dyDescent="0.25">
      <c r="A9" s="6" t="s">
        <v>0</v>
      </c>
      <c r="B9" s="1" t="s">
        <v>160</v>
      </c>
      <c r="D9" s="6" t="s">
        <v>76</v>
      </c>
      <c r="E9" s="22">
        <f>E13-SUM(E10:E12)</f>
        <v>45</v>
      </c>
      <c r="M9" s="2"/>
      <c r="N9" s="1"/>
    </row>
    <row r="10" spans="1:15" x14ac:dyDescent="0.25">
      <c r="A10" s="6" t="s">
        <v>11</v>
      </c>
      <c r="B10" s="19" t="s">
        <v>49</v>
      </c>
      <c r="D10" s="6" t="s">
        <v>4</v>
      </c>
      <c r="E10" s="24">
        <f>COUNTIF(TestScriptTable9[Result],"Passed")</f>
        <v>0</v>
      </c>
      <c r="M10" s="2"/>
      <c r="N10" s="1"/>
    </row>
    <row r="11" spans="1:15" x14ac:dyDescent="0.25">
      <c r="A11" s="6" t="s">
        <v>84</v>
      </c>
      <c r="B11" s="1">
        <v>1366</v>
      </c>
      <c r="D11" s="6" t="s">
        <v>5</v>
      </c>
      <c r="E11" s="23">
        <f>COUNTIF(TestScriptTable9[Result],"Failed")</f>
        <v>0</v>
      </c>
      <c r="M11" s="2"/>
      <c r="N11" s="1"/>
    </row>
    <row r="12" spans="1:15" x14ac:dyDescent="0.25">
      <c r="A12" s="6" t="s">
        <v>85</v>
      </c>
      <c r="B12" s="1">
        <v>768</v>
      </c>
      <c r="D12" s="6" t="s">
        <v>8</v>
      </c>
      <c r="E12" s="21">
        <f>COUNTIF(TestScriptTable9[Result],"Skipped*")</f>
        <v>0</v>
      </c>
      <c r="M12" s="2"/>
      <c r="N12" s="1"/>
    </row>
    <row r="13" spans="1:15" x14ac:dyDescent="0.25">
      <c r="A13" s="6" t="s">
        <v>29</v>
      </c>
      <c r="B13" s="1" t="s">
        <v>82</v>
      </c>
      <c r="D13" s="6" t="s">
        <v>6</v>
      </c>
      <c r="E13" s="8">
        <f>COUNTA(TestScriptTable9[runTarget])+COUNTBLANK(TestScriptTable9[runTarget])</f>
        <v>45</v>
      </c>
      <c r="M13" s="2"/>
      <c r="N13" s="1"/>
    </row>
    <row r="14" spans="1:15" x14ac:dyDescent="0.25">
      <c r="A14" s="6" t="s">
        <v>78</v>
      </c>
      <c r="B14" s="1" t="s">
        <v>79</v>
      </c>
      <c r="D14" s="6" t="s">
        <v>7</v>
      </c>
      <c r="E14" s="9">
        <f>(E13-E9)/E13</f>
        <v>0</v>
      </c>
    </row>
    <row r="15" spans="1:15" ht="18" x14ac:dyDescent="0.25">
      <c r="A15" s="7"/>
    </row>
    <row r="16" spans="1:15" x14ac:dyDescent="0.25">
      <c r="A16" s="6"/>
      <c r="B16" s="8"/>
    </row>
    <row r="17" spans="1:16" s="11" customFormat="1" ht="21" x14ac:dyDescent="0.25">
      <c r="A17" s="12" t="s">
        <v>193</v>
      </c>
    </row>
    <row r="18" spans="1:16" s="36" customFormat="1" ht="15.75" x14ac:dyDescent="0.25">
      <c r="A18" s="59" t="s">
        <v>194</v>
      </c>
      <c r="B18" s="59"/>
      <c r="C18" s="60"/>
      <c r="D18" s="33" t="s">
        <v>21</v>
      </c>
      <c r="E18" s="33"/>
      <c r="F18" s="33"/>
      <c r="G18" s="33"/>
      <c r="H18" s="34" t="s">
        <v>77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25">
      <c r="A19" s="16" t="s">
        <v>66</v>
      </c>
      <c r="B19" s="16" t="s">
        <v>10</v>
      </c>
      <c r="C19" s="16" t="s">
        <v>67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62</v>
      </c>
      <c r="I19" s="16" t="s">
        <v>63</v>
      </c>
      <c r="J19" s="16" t="s">
        <v>64</v>
      </c>
      <c r="K19" s="16" t="s">
        <v>2</v>
      </c>
      <c r="L19" s="16" t="s">
        <v>3</v>
      </c>
      <c r="M19" s="16" t="s">
        <v>33</v>
      </c>
      <c r="N19" s="18" t="s">
        <v>68</v>
      </c>
      <c r="O19" s="16" t="s">
        <v>70</v>
      </c>
      <c r="P19" s="16" t="s">
        <v>34</v>
      </c>
    </row>
    <row r="20" spans="1:16" ht="21.75" customHeight="1" x14ac:dyDescent="0.25">
      <c r="A20" s="27" t="s">
        <v>80</v>
      </c>
      <c r="B20" s="8" t="s">
        <v>172</v>
      </c>
      <c r="C20" s="1" t="str">
        <f t="shared" ref="C20:C64" si="0">"Script"&amp;ROW()-19</f>
        <v>Script1</v>
      </c>
      <c r="D20" s="5" t="s">
        <v>37</v>
      </c>
      <c r="E20" s="5"/>
      <c r="F20" s="5" t="s">
        <v>48</v>
      </c>
      <c r="G20" s="5"/>
      <c r="H20" s="5" t="s">
        <v>41</v>
      </c>
      <c r="I20" s="5"/>
      <c r="J20" s="5"/>
      <c r="K20" s="5" t="s">
        <v>74</v>
      </c>
      <c r="L20" s="5"/>
      <c r="M20"/>
      <c r="N20" s="4"/>
      <c r="O20" s="5"/>
    </row>
    <row r="21" spans="1:16" ht="21.75" customHeight="1" x14ac:dyDescent="0.25">
      <c r="A21" s="27" t="s">
        <v>80</v>
      </c>
      <c r="B21" s="8" t="s">
        <v>169</v>
      </c>
      <c r="C21" s="15" t="str">
        <f t="shared" si="0"/>
        <v>Script2</v>
      </c>
      <c r="D21" s="5" t="s">
        <v>39</v>
      </c>
      <c r="E21" s="5" t="s">
        <v>51</v>
      </c>
      <c r="F21" s="5" t="s">
        <v>89</v>
      </c>
      <c r="G21" s="5"/>
      <c r="H21" s="5" t="s">
        <v>41</v>
      </c>
      <c r="I21" s="5"/>
      <c r="J21" s="5"/>
      <c r="K21" s="5" t="s">
        <v>99</v>
      </c>
      <c r="L21" s="5"/>
      <c r="M21"/>
      <c r="N21" s="4"/>
      <c r="O21" s="5"/>
    </row>
    <row r="22" spans="1:16" ht="21.75" customHeight="1" x14ac:dyDescent="0.25">
      <c r="A22" s="27" t="s">
        <v>80</v>
      </c>
      <c r="B22" s="8" t="s">
        <v>169</v>
      </c>
      <c r="C22" s="15" t="str">
        <f t="shared" si="0"/>
        <v>Script3</v>
      </c>
      <c r="D22" s="5" t="s">
        <v>39</v>
      </c>
      <c r="E22" s="5" t="s">
        <v>31</v>
      </c>
      <c r="F22" s="5" t="s">
        <v>90</v>
      </c>
      <c r="G22" s="5"/>
      <c r="H22" s="5" t="s">
        <v>41</v>
      </c>
      <c r="I22" s="5"/>
      <c r="J22" s="5"/>
      <c r="K22" s="5" t="s">
        <v>118</v>
      </c>
      <c r="L22" s="5"/>
      <c r="M22"/>
      <c r="N22" s="4"/>
      <c r="O22" s="5"/>
    </row>
    <row r="23" spans="1:16" ht="21.75" customHeight="1" x14ac:dyDescent="0.25">
      <c r="A23" s="27" t="s">
        <v>80</v>
      </c>
      <c r="B23" s="8" t="s">
        <v>169</v>
      </c>
      <c r="C23" s="15" t="str">
        <f t="shared" si="0"/>
        <v>Script4</v>
      </c>
      <c r="D23" s="5" t="s">
        <v>39</v>
      </c>
      <c r="E23" s="5" t="s">
        <v>54</v>
      </c>
      <c r="F23" s="5" t="s">
        <v>91</v>
      </c>
      <c r="G23" s="5"/>
      <c r="H23" s="5" t="s">
        <v>41</v>
      </c>
      <c r="I23" s="5"/>
      <c r="J23" s="5"/>
      <c r="K23" s="5" t="s">
        <v>100</v>
      </c>
      <c r="L23" s="5"/>
      <c r="M23"/>
      <c r="N23" s="4"/>
      <c r="O23" s="5"/>
    </row>
    <row r="24" spans="1:16" ht="21.75" customHeight="1" x14ac:dyDescent="0.25">
      <c r="A24" s="27" t="s">
        <v>80</v>
      </c>
      <c r="B24" s="8" t="s">
        <v>169</v>
      </c>
      <c r="C24" s="15" t="str">
        <f t="shared" si="0"/>
        <v>Script5</v>
      </c>
      <c r="D24" s="5" t="s">
        <v>39</v>
      </c>
      <c r="E24" s="5" t="s">
        <v>86</v>
      </c>
      <c r="F24" s="5" t="s">
        <v>92</v>
      </c>
      <c r="G24" s="5"/>
      <c r="H24" s="5" t="s">
        <v>41</v>
      </c>
      <c r="I24" s="5"/>
      <c r="J24" s="5"/>
      <c r="K24" s="5" t="s">
        <v>74</v>
      </c>
      <c r="L24" s="5"/>
      <c r="M24"/>
      <c r="N24" s="4"/>
      <c r="O24" s="5"/>
    </row>
    <row r="25" spans="1:16" ht="21.75" customHeight="1" x14ac:dyDescent="0.25">
      <c r="A25" s="27" t="s">
        <v>80</v>
      </c>
      <c r="B25" s="8" t="s">
        <v>169</v>
      </c>
      <c r="C25" s="15" t="str">
        <f t="shared" si="0"/>
        <v>Script6</v>
      </c>
      <c r="D25" s="5" t="s">
        <v>39</v>
      </c>
      <c r="E25" s="5" t="s">
        <v>75</v>
      </c>
      <c r="F25" s="5" t="s">
        <v>93</v>
      </c>
      <c r="G25" s="5"/>
      <c r="H25" s="5" t="s">
        <v>41</v>
      </c>
      <c r="I25" s="5"/>
      <c r="J25" s="5"/>
      <c r="K25" s="5" t="s">
        <v>74</v>
      </c>
      <c r="L25" s="5"/>
      <c r="M25"/>
      <c r="N25" s="4"/>
      <c r="O25" s="5"/>
    </row>
    <row r="26" spans="1:16" ht="21.75" customHeight="1" x14ac:dyDescent="0.25">
      <c r="A26" s="27" t="s">
        <v>80</v>
      </c>
      <c r="B26" s="8" t="s">
        <v>171</v>
      </c>
      <c r="C26" s="15" t="str">
        <f t="shared" si="0"/>
        <v>Script7</v>
      </c>
      <c r="D26" s="5" t="s">
        <v>72</v>
      </c>
      <c r="E26" s="5"/>
      <c r="F26" s="5"/>
      <c r="G26" s="5"/>
      <c r="H26" s="5" t="s">
        <v>41</v>
      </c>
      <c r="I26" s="5"/>
      <c r="J26" s="5"/>
      <c r="K26" s="5" t="s">
        <v>100</v>
      </c>
      <c r="L26" s="5"/>
      <c r="M26"/>
      <c r="N26" s="4"/>
      <c r="O26" s="5"/>
    </row>
    <row r="27" spans="1:16" ht="21.75" customHeight="1" x14ac:dyDescent="0.25">
      <c r="A27" s="27" t="s">
        <v>80</v>
      </c>
      <c r="B27" s="8" t="s">
        <v>172</v>
      </c>
      <c r="C27" s="15" t="str">
        <f t="shared" si="0"/>
        <v>Script8</v>
      </c>
      <c r="D27" s="5" t="s">
        <v>37</v>
      </c>
      <c r="E27" s="5"/>
      <c r="F27" s="5" t="s">
        <v>48</v>
      </c>
      <c r="G27" s="5"/>
      <c r="H27" s="5" t="s">
        <v>42</v>
      </c>
      <c r="I27" s="5"/>
      <c r="J27" s="5"/>
      <c r="K27" s="5" t="s">
        <v>101</v>
      </c>
      <c r="L27" s="5"/>
      <c r="M27"/>
      <c r="N27" s="4"/>
      <c r="O27" s="5"/>
    </row>
    <row r="28" spans="1:16" ht="21.75" customHeight="1" x14ac:dyDescent="0.25">
      <c r="A28" s="27" t="s">
        <v>80</v>
      </c>
      <c r="B28" s="8" t="s">
        <v>170</v>
      </c>
      <c r="C28" s="15" t="str">
        <f t="shared" si="0"/>
        <v>Script9</v>
      </c>
      <c r="D28" s="5" t="s">
        <v>56</v>
      </c>
      <c r="E28" s="5" t="s">
        <v>51</v>
      </c>
      <c r="F28" s="5" t="s">
        <v>71</v>
      </c>
      <c r="G28" s="5"/>
      <c r="H28" s="5" t="s">
        <v>42</v>
      </c>
      <c r="I28" s="5"/>
      <c r="J28" s="5"/>
      <c r="K28" s="5" t="s">
        <v>101</v>
      </c>
      <c r="L28" s="5"/>
      <c r="M28"/>
      <c r="N28" s="4"/>
      <c r="O28" s="5"/>
    </row>
    <row r="29" spans="1:16" ht="21.75" customHeight="1" x14ac:dyDescent="0.25">
      <c r="A29" s="27" t="s">
        <v>80</v>
      </c>
      <c r="B29" s="8" t="s">
        <v>170</v>
      </c>
      <c r="C29" s="15" t="str">
        <f t="shared" si="0"/>
        <v>Script10</v>
      </c>
      <c r="D29" s="5" t="s">
        <v>56</v>
      </c>
      <c r="E29" s="5" t="s">
        <v>31</v>
      </c>
      <c r="F29" s="5" t="s">
        <v>94</v>
      </c>
      <c r="G29" s="5"/>
      <c r="H29" s="5" t="s">
        <v>42</v>
      </c>
      <c r="I29" s="5"/>
      <c r="J29" s="5"/>
      <c r="K29" s="5" t="s">
        <v>101</v>
      </c>
      <c r="L29" s="5"/>
      <c r="M29"/>
      <c r="N29" s="4"/>
      <c r="O29" s="5"/>
    </row>
    <row r="30" spans="1:16" ht="21.75" customHeight="1" x14ac:dyDescent="0.25">
      <c r="A30" s="27" t="s">
        <v>80</v>
      </c>
      <c r="B30" s="8" t="s">
        <v>170</v>
      </c>
      <c r="C30" s="15" t="str">
        <f t="shared" si="0"/>
        <v>Script11</v>
      </c>
      <c r="D30" s="5" t="s">
        <v>56</v>
      </c>
      <c r="E30" s="5" t="s">
        <v>86</v>
      </c>
      <c r="F30" s="5" t="s">
        <v>102</v>
      </c>
      <c r="G30" s="5"/>
      <c r="H30" s="5" t="s">
        <v>42</v>
      </c>
      <c r="I30" s="5"/>
      <c r="J30" s="5"/>
      <c r="K30" s="5" t="s">
        <v>101</v>
      </c>
      <c r="L30" s="5"/>
      <c r="M30"/>
      <c r="N30" s="4"/>
      <c r="O30" s="5"/>
    </row>
    <row r="31" spans="1:16" ht="21.75" customHeight="1" x14ac:dyDescent="0.25">
      <c r="A31" s="27" t="s">
        <v>80</v>
      </c>
      <c r="B31" s="8" t="s">
        <v>174</v>
      </c>
      <c r="C31" s="15" t="str">
        <f t="shared" si="0"/>
        <v>Script12</v>
      </c>
      <c r="D31" s="5" t="s">
        <v>56</v>
      </c>
      <c r="E31" s="5" t="s">
        <v>75</v>
      </c>
      <c r="F31" s="5" t="s">
        <v>93</v>
      </c>
      <c r="G31" s="5"/>
      <c r="H31" s="5" t="s">
        <v>42</v>
      </c>
      <c r="I31" s="5"/>
      <c r="J31" s="5"/>
      <c r="K31" s="5" t="s">
        <v>101</v>
      </c>
      <c r="L31" s="5"/>
      <c r="M31"/>
      <c r="N31" s="4"/>
      <c r="O31" s="5"/>
    </row>
    <row r="32" spans="1:16" ht="21.75" customHeight="1" x14ac:dyDescent="0.25">
      <c r="A32" s="27" t="s">
        <v>80</v>
      </c>
      <c r="B32" s="8" t="s">
        <v>173</v>
      </c>
      <c r="C32" s="15" t="str">
        <f t="shared" si="0"/>
        <v>Script13</v>
      </c>
      <c r="D32" s="5" t="s">
        <v>73</v>
      </c>
      <c r="E32" s="5" t="s">
        <v>51</v>
      </c>
      <c r="F32" s="5" t="s">
        <v>95</v>
      </c>
      <c r="G32" s="5" t="s">
        <v>103</v>
      </c>
      <c r="H32" s="5" t="s">
        <v>42</v>
      </c>
      <c r="I32" s="5"/>
      <c r="J32" s="5"/>
      <c r="K32" s="5" t="s">
        <v>101</v>
      </c>
      <c r="L32" s="5"/>
      <c r="M32"/>
      <c r="N32" s="4"/>
      <c r="O32" s="5"/>
    </row>
    <row r="33" spans="1:15" ht="21.75" customHeight="1" x14ac:dyDescent="0.25">
      <c r="A33" s="27" t="s">
        <v>80</v>
      </c>
      <c r="B33" s="8" t="s">
        <v>173</v>
      </c>
      <c r="C33" s="15" t="str">
        <f t="shared" si="0"/>
        <v>Script14</v>
      </c>
      <c r="D33" s="5" t="s">
        <v>73</v>
      </c>
      <c r="E33" s="5" t="s">
        <v>31</v>
      </c>
      <c r="F33" s="5" t="s">
        <v>96</v>
      </c>
      <c r="G33" s="5" t="s">
        <v>104</v>
      </c>
      <c r="H33" s="5" t="s">
        <v>42</v>
      </c>
      <c r="I33" s="5"/>
      <c r="J33" s="5"/>
      <c r="K33" s="5" t="s">
        <v>101</v>
      </c>
      <c r="L33" s="5"/>
      <c r="M33"/>
      <c r="N33" s="4"/>
      <c r="O33" s="5"/>
    </row>
    <row r="34" spans="1:15" ht="21.75" customHeight="1" x14ac:dyDescent="0.25">
      <c r="A34" s="27" t="s">
        <v>80</v>
      </c>
      <c r="B34" s="8" t="s">
        <v>173</v>
      </c>
      <c r="C34" s="15" t="str">
        <f t="shared" si="0"/>
        <v>Script15</v>
      </c>
      <c r="D34" s="5" t="s">
        <v>73</v>
      </c>
      <c r="E34" s="5" t="s">
        <v>86</v>
      </c>
      <c r="F34" s="5" t="s">
        <v>97</v>
      </c>
      <c r="G34" s="5" t="s">
        <v>105</v>
      </c>
      <c r="H34" s="5" t="s">
        <v>42</v>
      </c>
      <c r="I34" s="5"/>
      <c r="J34" s="5"/>
      <c r="K34" s="5" t="s">
        <v>101</v>
      </c>
      <c r="L34" s="5"/>
      <c r="M34"/>
      <c r="N34" s="4"/>
      <c r="O34" s="5"/>
    </row>
    <row r="35" spans="1:15" ht="21.75" customHeight="1" x14ac:dyDescent="0.25">
      <c r="A35" s="27" t="s">
        <v>80</v>
      </c>
      <c r="B35" s="8" t="s">
        <v>173</v>
      </c>
      <c r="C35" s="15" t="str">
        <f t="shared" si="0"/>
        <v>Script16</v>
      </c>
      <c r="D35" s="5" t="s">
        <v>73</v>
      </c>
      <c r="E35" s="5" t="s">
        <v>75</v>
      </c>
      <c r="F35" s="5" t="s">
        <v>98</v>
      </c>
      <c r="G35" s="5" t="s">
        <v>106</v>
      </c>
      <c r="H35" s="5" t="s">
        <v>42</v>
      </c>
      <c r="I35" s="5"/>
      <c r="J35" s="5"/>
      <c r="K35" s="5" t="s">
        <v>101</v>
      </c>
      <c r="L35" s="5"/>
      <c r="M35"/>
      <c r="N35" s="4"/>
      <c r="O35" s="5"/>
    </row>
    <row r="36" spans="1:15" ht="21.75" customHeight="1" x14ac:dyDescent="0.25">
      <c r="A36" s="27" t="s">
        <v>80</v>
      </c>
      <c r="B36" s="8" t="s">
        <v>172</v>
      </c>
      <c r="C36" s="15" t="str">
        <f t="shared" si="0"/>
        <v>Script17</v>
      </c>
      <c r="D36" s="5" t="s">
        <v>37</v>
      </c>
      <c r="E36" s="5"/>
      <c r="F36" s="5" t="s">
        <v>108</v>
      </c>
      <c r="G36" s="5"/>
      <c r="H36" s="5" t="s">
        <v>41</v>
      </c>
      <c r="I36" s="5"/>
      <c r="J36" s="5"/>
      <c r="K36" s="5" t="s">
        <v>117</v>
      </c>
      <c r="L36" s="5"/>
      <c r="M36"/>
      <c r="N36" s="4"/>
      <c r="O36" s="5"/>
    </row>
    <row r="37" spans="1:15" ht="21.75" customHeight="1" x14ac:dyDescent="0.25">
      <c r="A37" s="27" t="s">
        <v>80</v>
      </c>
      <c r="B37" s="8" t="s">
        <v>173</v>
      </c>
      <c r="C37" s="15" t="str">
        <f>"Script"&amp;ROW()-19</f>
        <v>Script18</v>
      </c>
      <c r="D37" s="5" t="s">
        <v>73</v>
      </c>
      <c r="E37" s="5" t="s">
        <v>109</v>
      </c>
      <c r="F37" s="5" t="s">
        <v>110</v>
      </c>
      <c r="G37" s="25" t="s">
        <v>111</v>
      </c>
      <c r="H37" s="5" t="s">
        <v>41</v>
      </c>
      <c r="I37" s="5"/>
      <c r="J37" s="5"/>
      <c r="K37" s="5" t="s">
        <v>117</v>
      </c>
      <c r="L37" s="5"/>
      <c r="M37"/>
      <c r="N37" s="4"/>
      <c r="O37" s="5"/>
    </row>
    <row r="38" spans="1:15" ht="21.75" customHeight="1" x14ac:dyDescent="0.25">
      <c r="A38" s="27" t="s">
        <v>80</v>
      </c>
      <c r="B38" s="8" t="s">
        <v>173</v>
      </c>
      <c r="C38" s="15" t="str">
        <f>"Script"&amp;ROW()-19</f>
        <v>Script19</v>
      </c>
      <c r="D38" s="5" t="s">
        <v>112</v>
      </c>
      <c r="E38" s="5" t="s">
        <v>109</v>
      </c>
      <c r="F38" s="5" t="s">
        <v>113</v>
      </c>
      <c r="G38" s="5"/>
      <c r="H38" s="5" t="s">
        <v>41</v>
      </c>
      <c r="I38" s="5"/>
      <c r="J38" s="5"/>
      <c r="K38" s="5" t="s">
        <v>117</v>
      </c>
      <c r="L38" s="5"/>
      <c r="M38"/>
      <c r="N38" s="4"/>
      <c r="O38" s="5"/>
    </row>
    <row r="39" spans="1:15" ht="21.75" customHeight="1" x14ac:dyDescent="0.25">
      <c r="A39" s="27" t="s">
        <v>80</v>
      </c>
      <c r="B39" s="8" t="s">
        <v>175</v>
      </c>
      <c r="C39" s="15" t="str">
        <f t="shared" si="0"/>
        <v>Script20</v>
      </c>
      <c r="D39" s="5" t="s">
        <v>87</v>
      </c>
      <c r="E39" s="5" t="s">
        <v>51</v>
      </c>
      <c r="F39" s="5" t="s">
        <v>114</v>
      </c>
      <c r="G39" s="5"/>
      <c r="H39" s="5" t="s">
        <v>41</v>
      </c>
      <c r="I39" s="5"/>
      <c r="J39" s="5"/>
      <c r="K39" s="5" t="s">
        <v>117</v>
      </c>
      <c r="L39" s="5"/>
      <c r="M39"/>
      <c r="N39" s="4"/>
      <c r="O39" s="5"/>
    </row>
    <row r="40" spans="1:15" ht="21.75" customHeight="1" x14ac:dyDescent="0.25">
      <c r="A40" s="27" t="s">
        <v>80</v>
      </c>
      <c r="B40" s="8" t="s">
        <v>175</v>
      </c>
      <c r="C40" s="15" t="str">
        <f t="shared" si="0"/>
        <v>Script21</v>
      </c>
      <c r="D40" s="5" t="s">
        <v>87</v>
      </c>
      <c r="E40" s="5" t="s">
        <v>31</v>
      </c>
      <c r="F40" s="5" t="s">
        <v>115</v>
      </c>
      <c r="G40" s="28"/>
      <c r="H40" s="5" t="s">
        <v>41</v>
      </c>
      <c r="I40" s="5"/>
      <c r="J40" s="5"/>
      <c r="K40" s="5" t="s">
        <v>117</v>
      </c>
      <c r="L40" s="5"/>
      <c r="M40"/>
      <c r="N40" s="4"/>
      <c r="O40" s="5"/>
    </row>
    <row r="41" spans="1:15" ht="21.75" customHeight="1" x14ac:dyDescent="0.25">
      <c r="A41" s="27" t="s">
        <v>80</v>
      </c>
      <c r="B41" s="8" t="s">
        <v>175</v>
      </c>
      <c r="C41" s="15" t="str">
        <f t="shared" si="0"/>
        <v>Script22</v>
      </c>
      <c r="D41" s="5" t="s">
        <v>87</v>
      </c>
      <c r="E41" s="5" t="s">
        <v>86</v>
      </c>
      <c r="F41" s="5" t="s">
        <v>116</v>
      </c>
      <c r="G41" s="28">
        <v>2</v>
      </c>
      <c r="H41" s="5" t="s">
        <v>41</v>
      </c>
      <c r="I41" s="5"/>
      <c r="J41" s="5"/>
      <c r="K41" s="5" t="s">
        <v>117</v>
      </c>
      <c r="L41" s="5"/>
      <c r="M41"/>
      <c r="N41" s="4"/>
      <c r="O41" s="5"/>
    </row>
    <row r="42" spans="1:15" ht="21.75" customHeight="1" x14ac:dyDescent="0.25">
      <c r="A42" s="27" t="s">
        <v>80</v>
      </c>
      <c r="B42" s="8" t="s">
        <v>175</v>
      </c>
      <c r="C42" s="15" t="str">
        <f t="shared" si="0"/>
        <v>Script23</v>
      </c>
      <c r="D42" s="5" t="s">
        <v>87</v>
      </c>
      <c r="E42" s="5" t="s">
        <v>75</v>
      </c>
      <c r="F42" s="5" t="s">
        <v>119</v>
      </c>
      <c r="G42" s="28"/>
      <c r="H42" s="5" t="s">
        <v>41</v>
      </c>
      <c r="I42" s="5"/>
      <c r="J42" s="5"/>
      <c r="K42" s="5" t="s">
        <v>117</v>
      </c>
      <c r="L42" s="5"/>
      <c r="M42"/>
      <c r="N42" s="4"/>
      <c r="O42" s="5"/>
    </row>
    <row r="43" spans="1:15" ht="21.75" customHeight="1" x14ac:dyDescent="0.25">
      <c r="A43" s="27" t="s">
        <v>80</v>
      </c>
      <c r="B43" s="8" t="s">
        <v>176</v>
      </c>
      <c r="C43" s="15" t="str">
        <f t="shared" si="0"/>
        <v>Script24</v>
      </c>
      <c r="D43" s="5" t="s">
        <v>35</v>
      </c>
      <c r="E43" s="5" t="s">
        <v>51</v>
      </c>
      <c r="F43" s="5" t="s">
        <v>120</v>
      </c>
      <c r="G43" s="29" t="s">
        <v>146</v>
      </c>
      <c r="H43" s="5" t="s">
        <v>42</v>
      </c>
      <c r="I43" s="5"/>
      <c r="J43" s="5"/>
      <c r="K43" s="5" t="s">
        <v>124</v>
      </c>
      <c r="L43" s="5"/>
      <c r="M43"/>
      <c r="N43" s="4"/>
      <c r="O43" s="5"/>
    </row>
    <row r="44" spans="1:15" ht="21.75" customHeight="1" x14ac:dyDescent="0.25">
      <c r="A44" s="27" t="s">
        <v>80</v>
      </c>
      <c r="B44" s="8" t="s">
        <v>176</v>
      </c>
      <c r="C44" s="15" t="str">
        <f t="shared" si="0"/>
        <v>Script25</v>
      </c>
      <c r="D44" s="5" t="s">
        <v>35</v>
      </c>
      <c r="E44" s="5" t="s">
        <v>31</v>
      </c>
      <c r="F44" s="5" t="s">
        <v>121</v>
      </c>
      <c r="G44" s="29" t="s">
        <v>147</v>
      </c>
      <c r="H44" s="5" t="s">
        <v>42</v>
      </c>
      <c r="I44" s="5"/>
      <c r="J44" s="5"/>
      <c r="K44" s="5" t="s">
        <v>124</v>
      </c>
      <c r="L44" s="5"/>
      <c r="M44"/>
      <c r="N44" s="4"/>
      <c r="O44" s="5"/>
    </row>
    <row r="45" spans="1:15" ht="21.75" customHeight="1" x14ac:dyDescent="0.25">
      <c r="A45" s="27" t="s">
        <v>80</v>
      </c>
      <c r="B45" s="8" t="s">
        <v>176</v>
      </c>
      <c r="C45" s="15" t="str">
        <f t="shared" si="0"/>
        <v>Script26</v>
      </c>
      <c r="D45" s="5" t="s">
        <v>35</v>
      </c>
      <c r="E45" s="5" t="s">
        <v>86</v>
      </c>
      <c r="F45" s="5" t="s">
        <v>122</v>
      </c>
      <c r="G45" s="29" t="s">
        <v>125</v>
      </c>
      <c r="H45" s="5" t="s">
        <v>42</v>
      </c>
      <c r="I45" s="5"/>
      <c r="J45" s="5"/>
      <c r="K45" s="5" t="s">
        <v>124</v>
      </c>
      <c r="L45" s="5"/>
      <c r="M45"/>
      <c r="N45" s="4"/>
      <c r="O45" s="5"/>
    </row>
    <row r="46" spans="1:15" ht="21.75" customHeight="1" x14ac:dyDescent="0.25">
      <c r="A46" s="27" t="s">
        <v>80</v>
      </c>
      <c r="B46" s="8" t="s">
        <v>176</v>
      </c>
      <c r="C46" s="15" t="str">
        <f t="shared" si="0"/>
        <v>Script27</v>
      </c>
      <c r="D46" s="5" t="s">
        <v>35</v>
      </c>
      <c r="E46" s="5" t="s">
        <v>75</v>
      </c>
      <c r="F46" s="5" t="s">
        <v>123</v>
      </c>
      <c r="G46" s="29" t="s">
        <v>126</v>
      </c>
      <c r="H46" s="5" t="s">
        <v>42</v>
      </c>
      <c r="I46" s="5"/>
      <c r="J46" s="5"/>
      <c r="K46" s="5" t="s">
        <v>124</v>
      </c>
      <c r="L46" s="5"/>
      <c r="M46"/>
      <c r="N46" s="4"/>
      <c r="O46" s="5"/>
    </row>
    <row r="47" spans="1:15" ht="21.75" customHeight="1" x14ac:dyDescent="0.25">
      <c r="A47" s="27" t="s">
        <v>80</v>
      </c>
      <c r="B47" s="8" t="s">
        <v>172</v>
      </c>
      <c r="C47" s="15" t="str">
        <f t="shared" si="0"/>
        <v>Script28</v>
      </c>
      <c r="D47" s="5" t="s">
        <v>37</v>
      </c>
      <c r="E47" s="5"/>
      <c r="F47" s="5" t="s">
        <v>48</v>
      </c>
      <c r="G47" s="28"/>
      <c r="H47" s="5" t="s">
        <v>42</v>
      </c>
      <c r="I47" s="5"/>
      <c r="J47" s="5"/>
      <c r="K47" s="5" t="s">
        <v>101</v>
      </c>
      <c r="L47" s="5"/>
      <c r="M47"/>
      <c r="N47" s="4"/>
      <c r="O47" s="5"/>
    </row>
    <row r="48" spans="1:15" ht="21.75" customHeight="1" x14ac:dyDescent="0.25">
      <c r="A48" s="27" t="s">
        <v>80</v>
      </c>
      <c r="B48" s="8" t="s">
        <v>177</v>
      </c>
      <c r="C48" s="15" t="str">
        <f t="shared" si="0"/>
        <v>Script29</v>
      </c>
      <c r="D48" s="5" t="s">
        <v>88</v>
      </c>
      <c r="E48" s="5"/>
      <c r="F48" s="5" t="s">
        <v>107</v>
      </c>
      <c r="G48" s="5" t="str">
        <f>TestScriptTable9[[#This Row],[scriptID]]&amp;".jpg"</f>
        <v>Script29.jpg</v>
      </c>
      <c r="H48" s="5" t="s">
        <v>41</v>
      </c>
      <c r="I48" s="5"/>
      <c r="J48" s="5"/>
      <c r="K48" s="5" t="s">
        <v>74</v>
      </c>
      <c r="L48" s="5"/>
      <c r="M48"/>
      <c r="N48" s="4"/>
      <c r="O48" s="5"/>
    </row>
    <row r="49" spans="1:15" ht="21.75" customHeight="1" x14ac:dyDescent="0.25">
      <c r="A49" s="27" t="s">
        <v>80</v>
      </c>
      <c r="B49" s="8" t="s">
        <v>177</v>
      </c>
      <c r="C49" s="15" t="str">
        <f t="shared" si="0"/>
        <v>Script30</v>
      </c>
      <c r="D49" s="5" t="s">
        <v>88</v>
      </c>
      <c r="E49" s="5"/>
      <c r="F49" s="5" t="s">
        <v>107</v>
      </c>
      <c r="G49" s="5" t="str">
        <f>TestScriptTable9[[#This Row],[scriptID]]&amp;".png"</f>
        <v>Script30.png</v>
      </c>
      <c r="H49" s="5" t="s">
        <v>41</v>
      </c>
      <c r="I49" s="5"/>
      <c r="J49" s="5"/>
      <c r="K49" s="5" t="s">
        <v>74</v>
      </c>
      <c r="L49" s="5"/>
      <c r="M49"/>
      <c r="N49" s="4"/>
      <c r="O49" s="5"/>
    </row>
    <row r="50" spans="1:15" ht="21.75" customHeight="1" x14ac:dyDescent="0.25">
      <c r="A50" s="27" t="s">
        <v>80</v>
      </c>
      <c r="B50" s="8" t="s">
        <v>177</v>
      </c>
      <c r="C50" s="15" t="str">
        <f t="shared" si="0"/>
        <v>Script31</v>
      </c>
      <c r="D50" s="5" t="s">
        <v>88</v>
      </c>
      <c r="E50" s="5"/>
      <c r="F50" s="5" t="s">
        <v>107</v>
      </c>
      <c r="G50" s="5" t="str">
        <f>TestScriptTable9[[#This Row],[scriptID]]&amp;".bmp"</f>
        <v>Script31.bmp</v>
      </c>
      <c r="H50" s="5" t="s">
        <v>41</v>
      </c>
      <c r="I50" s="5"/>
      <c r="J50" s="5"/>
      <c r="K50" s="5" t="s">
        <v>74</v>
      </c>
      <c r="L50" s="5"/>
      <c r="M50"/>
      <c r="N50" s="4"/>
      <c r="O50" s="5"/>
    </row>
    <row r="51" spans="1:15" ht="21.75" customHeight="1" x14ac:dyDescent="0.25">
      <c r="A51" s="27" t="s">
        <v>80</v>
      </c>
      <c r="B51" s="8" t="s">
        <v>177</v>
      </c>
      <c r="C51" s="15" t="str">
        <f t="shared" si="0"/>
        <v>Script32</v>
      </c>
      <c r="D51" s="5" t="s">
        <v>88</v>
      </c>
      <c r="E51" s="5"/>
      <c r="F51" s="5" t="s">
        <v>107</v>
      </c>
      <c r="G51" s="5" t="str">
        <f>TestScriptTable9[[#This Row],[scriptID]]&amp;".gif"</f>
        <v>Script32.gif</v>
      </c>
      <c r="H51" s="5" t="s">
        <v>41</v>
      </c>
      <c r="I51" s="5"/>
      <c r="J51" s="5"/>
      <c r="K51" s="5" t="s">
        <v>74</v>
      </c>
      <c r="L51" s="5"/>
      <c r="M51"/>
      <c r="N51" s="4"/>
      <c r="O51" s="5"/>
    </row>
    <row r="52" spans="1:15" ht="21.75" customHeight="1" x14ac:dyDescent="0.25">
      <c r="A52" s="27" t="s">
        <v>80</v>
      </c>
      <c r="B52" s="8" t="s">
        <v>172</v>
      </c>
      <c r="C52" s="15" t="str">
        <f t="shared" si="0"/>
        <v>Script33</v>
      </c>
      <c r="D52" s="5" t="s">
        <v>37</v>
      </c>
      <c r="E52" s="5"/>
      <c r="F52" s="5" t="s">
        <v>130</v>
      </c>
      <c r="G52" s="28"/>
      <c r="H52" s="5" t="s">
        <v>41</v>
      </c>
      <c r="I52" s="5"/>
      <c r="J52" s="5"/>
      <c r="K52" s="5" t="s">
        <v>141</v>
      </c>
      <c r="L52" s="5"/>
      <c r="M52"/>
      <c r="N52" s="4"/>
      <c r="O52" s="5"/>
    </row>
    <row r="53" spans="1:15" ht="21.75" customHeight="1" x14ac:dyDescent="0.25">
      <c r="A53" s="27" t="s">
        <v>80</v>
      </c>
      <c r="B53" s="8" t="s">
        <v>178</v>
      </c>
      <c r="C53" s="15" t="str">
        <f t="shared" si="0"/>
        <v>Script34</v>
      </c>
      <c r="D53" s="5" t="s">
        <v>50</v>
      </c>
      <c r="E53" s="5"/>
      <c r="F53" s="5"/>
      <c r="G53" s="5">
        <v>0</v>
      </c>
      <c r="H53" s="5" t="s">
        <v>44</v>
      </c>
      <c r="I53" s="5" t="s">
        <v>51</v>
      </c>
      <c r="J53" s="5" t="s">
        <v>127</v>
      </c>
      <c r="K53" s="5" t="s">
        <v>134</v>
      </c>
      <c r="L53" s="5"/>
      <c r="M53"/>
      <c r="N53" s="4"/>
      <c r="O53" s="5"/>
    </row>
    <row r="54" spans="1:15" ht="21.75" customHeight="1" x14ac:dyDescent="0.25">
      <c r="A54" s="27" t="s">
        <v>80</v>
      </c>
      <c r="B54" s="8" t="s">
        <v>178</v>
      </c>
      <c r="C54" s="15" t="str">
        <f t="shared" si="0"/>
        <v>Script35</v>
      </c>
      <c r="D54" s="5" t="s">
        <v>50</v>
      </c>
      <c r="E54" s="5"/>
      <c r="F54" s="5"/>
      <c r="G54" s="5">
        <v>100</v>
      </c>
      <c r="H54" s="5" t="s">
        <v>44</v>
      </c>
      <c r="I54" s="5" t="s">
        <v>31</v>
      </c>
      <c r="J54" s="5" t="s">
        <v>90</v>
      </c>
      <c r="K54" s="5" t="s">
        <v>135</v>
      </c>
      <c r="L54" s="5"/>
      <c r="M54"/>
      <c r="N54" s="4"/>
      <c r="O54" s="5"/>
    </row>
    <row r="55" spans="1:15" ht="21.75" customHeight="1" x14ac:dyDescent="0.25">
      <c r="A55" s="27" t="s">
        <v>80</v>
      </c>
      <c r="B55" s="8" t="s">
        <v>178</v>
      </c>
      <c r="C55" s="15" t="str">
        <f t="shared" si="0"/>
        <v>Script36</v>
      </c>
      <c r="D55" s="5" t="s">
        <v>50</v>
      </c>
      <c r="E55" s="5"/>
      <c r="F55" s="5"/>
      <c r="G55" s="5">
        <v>200</v>
      </c>
      <c r="H55" s="5" t="s">
        <v>44</v>
      </c>
      <c r="I55" s="5" t="s">
        <v>86</v>
      </c>
      <c r="J55" s="5" t="s">
        <v>129</v>
      </c>
      <c r="K55" s="5" t="s">
        <v>136</v>
      </c>
      <c r="L55" s="5"/>
      <c r="M55"/>
      <c r="N55" s="4"/>
      <c r="O55" s="5"/>
    </row>
    <row r="56" spans="1:15" ht="21.75" customHeight="1" x14ac:dyDescent="0.25">
      <c r="A56" s="27" t="s">
        <v>80</v>
      </c>
      <c r="B56" s="8" t="s">
        <v>178</v>
      </c>
      <c r="C56" s="15" t="str">
        <f t="shared" si="0"/>
        <v>Script37</v>
      </c>
      <c r="D56" s="5" t="s">
        <v>50</v>
      </c>
      <c r="E56" s="5"/>
      <c r="F56" s="5"/>
      <c r="G56" s="5">
        <v>300</v>
      </c>
      <c r="H56" s="5" t="s">
        <v>44</v>
      </c>
      <c r="I56" s="5" t="s">
        <v>75</v>
      </c>
      <c r="J56" s="5" t="s">
        <v>131</v>
      </c>
      <c r="K56" s="5" t="s">
        <v>132</v>
      </c>
      <c r="L56" s="5"/>
      <c r="M56"/>
      <c r="N56" s="4"/>
      <c r="O56" s="5"/>
    </row>
    <row r="57" spans="1:15" ht="21.75" customHeight="1" x14ac:dyDescent="0.25">
      <c r="A57" s="27" t="s">
        <v>80</v>
      </c>
      <c r="B57" s="8" t="s">
        <v>179</v>
      </c>
      <c r="C57" s="15" t="str">
        <f t="shared" si="0"/>
        <v>Script38</v>
      </c>
      <c r="D57" s="5" t="s">
        <v>50</v>
      </c>
      <c r="E57" s="5"/>
      <c r="F57" s="5"/>
      <c r="G57" s="5">
        <v>400</v>
      </c>
      <c r="H57" s="5" t="s">
        <v>45</v>
      </c>
      <c r="I57" s="5" t="s">
        <v>51</v>
      </c>
      <c r="J57" s="5" t="s">
        <v>127</v>
      </c>
      <c r="K57" s="5" t="s">
        <v>128</v>
      </c>
      <c r="L57" s="5"/>
      <c r="M57"/>
      <c r="N57" s="4"/>
      <c r="O57" s="5"/>
    </row>
    <row r="58" spans="1:15" ht="21.75" customHeight="1" x14ac:dyDescent="0.25">
      <c r="A58" s="27" t="s">
        <v>80</v>
      </c>
      <c r="B58" s="8" t="s">
        <v>179</v>
      </c>
      <c r="C58" s="15" t="str">
        <f t="shared" si="0"/>
        <v>Script39</v>
      </c>
      <c r="D58" s="5" t="s">
        <v>50</v>
      </c>
      <c r="E58" s="5"/>
      <c r="F58" s="5"/>
      <c r="G58" s="5">
        <v>500</v>
      </c>
      <c r="H58" s="5" t="s">
        <v>45</v>
      </c>
      <c r="I58" s="5" t="s">
        <v>31</v>
      </c>
      <c r="J58" s="5" t="s">
        <v>90</v>
      </c>
      <c r="K58" s="5" t="s">
        <v>133</v>
      </c>
      <c r="L58" s="5"/>
      <c r="M58"/>
      <c r="N58" s="4"/>
      <c r="O58" s="5"/>
    </row>
    <row r="59" spans="1:15" ht="21.75" customHeight="1" x14ac:dyDescent="0.25">
      <c r="A59" s="27" t="s">
        <v>80</v>
      </c>
      <c r="B59" s="8" t="s">
        <v>179</v>
      </c>
      <c r="C59" s="15" t="str">
        <f t="shared" si="0"/>
        <v>Script40</v>
      </c>
      <c r="D59" s="5" t="s">
        <v>50</v>
      </c>
      <c r="E59" s="5"/>
      <c r="F59" s="5"/>
      <c r="G59" s="5">
        <v>600</v>
      </c>
      <c r="H59" s="5" t="s">
        <v>45</v>
      </c>
      <c r="I59" s="5" t="s">
        <v>86</v>
      </c>
      <c r="J59" s="5" t="s">
        <v>129</v>
      </c>
      <c r="K59" s="5" t="s">
        <v>143</v>
      </c>
      <c r="L59" s="5"/>
      <c r="M59"/>
      <c r="N59" s="4"/>
      <c r="O59" s="5"/>
    </row>
    <row r="60" spans="1:15" ht="21.75" customHeight="1" x14ac:dyDescent="0.25">
      <c r="A60" s="27" t="s">
        <v>80</v>
      </c>
      <c r="B60" s="8" t="s">
        <v>179</v>
      </c>
      <c r="C60" s="15" t="str">
        <f t="shared" si="0"/>
        <v>Script41</v>
      </c>
      <c r="D60" s="5" t="s">
        <v>50</v>
      </c>
      <c r="E60" s="5"/>
      <c r="F60" s="5"/>
      <c r="G60" s="5">
        <v>700</v>
      </c>
      <c r="H60" s="5" t="s">
        <v>45</v>
      </c>
      <c r="I60" s="5" t="s">
        <v>75</v>
      </c>
      <c r="J60" s="5" t="s">
        <v>131</v>
      </c>
      <c r="K60" s="5" t="s">
        <v>137</v>
      </c>
      <c r="L60" s="5"/>
      <c r="M60"/>
      <c r="N60" s="4"/>
      <c r="O60" s="5"/>
    </row>
    <row r="61" spans="1:15" ht="21.75" customHeight="1" x14ac:dyDescent="0.25">
      <c r="A61" s="27" t="s">
        <v>80</v>
      </c>
      <c r="B61" s="8" t="s">
        <v>180</v>
      </c>
      <c r="C61" s="15" t="str">
        <f t="shared" si="0"/>
        <v>Script42</v>
      </c>
      <c r="D61" s="5" t="s">
        <v>50</v>
      </c>
      <c r="E61" s="5"/>
      <c r="F61" s="5"/>
      <c r="G61" s="5">
        <v>800</v>
      </c>
      <c r="H61" s="5" t="s">
        <v>46</v>
      </c>
      <c r="I61" s="5" t="s">
        <v>51</v>
      </c>
      <c r="J61" s="5" t="s">
        <v>127</v>
      </c>
      <c r="K61" s="30" t="s">
        <v>142</v>
      </c>
      <c r="L61" s="5"/>
      <c r="M61"/>
      <c r="N61" s="4"/>
      <c r="O61" s="5"/>
    </row>
    <row r="62" spans="1:15" ht="21.75" customHeight="1" x14ac:dyDescent="0.25">
      <c r="A62" s="27" t="s">
        <v>80</v>
      </c>
      <c r="B62" s="8" t="s">
        <v>180</v>
      </c>
      <c r="C62" s="15" t="str">
        <f t="shared" si="0"/>
        <v>Script43</v>
      </c>
      <c r="D62" s="5" t="s">
        <v>50</v>
      </c>
      <c r="E62" s="5"/>
      <c r="F62" s="5"/>
      <c r="G62" s="5">
        <v>900</v>
      </c>
      <c r="H62" s="5" t="s">
        <v>46</v>
      </c>
      <c r="I62" s="5" t="s">
        <v>31</v>
      </c>
      <c r="J62" s="5" t="s">
        <v>90</v>
      </c>
      <c r="K62" s="5" t="s">
        <v>138</v>
      </c>
      <c r="L62" s="5"/>
      <c r="M62"/>
      <c r="N62" s="4"/>
      <c r="O62" s="5"/>
    </row>
    <row r="63" spans="1:15" ht="21.75" customHeight="1" x14ac:dyDescent="0.25">
      <c r="A63" s="27" t="s">
        <v>80</v>
      </c>
      <c r="B63" s="8" t="s">
        <v>180</v>
      </c>
      <c r="C63" s="15" t="str">
        <f t="shared" si="0"/>
        <v>Script44</v>
      </c>
      <c r="D63" s="5" t="s">
        <v>50</v>
      </c>
      <c r="E63" s="5"/>
      <c r="F63" s="5"/>
      <c r="G63" s="5">
        <v>1000</v>
      </c>
      <c r="H63" s="5" t="s">
        <v>46</v>
      </c>
      <c r="I63" s="5" t="s">
        <v>86</v>
      </c>
      <c r="J63" s="5" t="s">
        <v>129</v>
      </c>
      <c r="K63" s="5" t="s">
        <v>139</v>
      </c>
      <c r="L63" s="5"/>
      <c r="M63"/>
      <c r="N63" s="4"/>
      <c r="O63" s="5"/>
    </row>
    <row r="64" spans="1:15" ht="21.75" customHeight="1" x14ac:dyDescent="0.25">
      <c r="A64" s="27" t="s">
        <v>80</v>
      </c>
      <c r="B64" s="8" t="s">
        <v>180</v>
      </c>
      <c r="C64" s="15" t="str">
        <f t="shared" si="0"/>
        <v>Script45</v>
      </c>
      <c r="D64" s="5" t="s">
        <v>50</v>
      </c>
      <c r="E64" s="5"/>
      <c r="F64" s="5"/>
      <c r="G64" s="5">
        <v>1100</v>
      </c>
      <c r="H64" s="5" t="s">
        <v>46</v>
      </c>
      <c r="I64" s="5" t="s">
        <v>75</v>
      </c>
      <c r="J64" s="5" t="s">
        <v>131</v>
      </c>
      <c r="K64" s="5" t="s">
        <v>140</v>
      </c>
      <c r="L64" s="5"/>
      <c r="M64"/>
      <c r="N64" s="4"/>
      <c r="O64" s="5"/>
    </row>
    <row r="65" spans="1:15" ht="21.75" customHeight="1" x14ac:dyDescent="0.2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2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2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2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2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2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2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2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2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2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2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2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2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2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2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2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2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2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2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2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2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2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2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2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2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2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2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2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2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26"/>
      <c r="N93" s="4"/>
      <c r="O93" s="5"/>
    </row>
    <row r="94" spans="1:15" ht="21.75" customHeight="1" x14ac:dyDescent="0.2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26"/>
      <c r="N94" s="4"/>
      <c r="O94" s="5"/>
    </row>
    <row r="95" spans="1:15" ht="21.75" customHeight="1" x14ac:dyDescent="0.2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26"/>
      <c r="N95" s="4"/>
      <c r="O95" s="5"/>
    </row>
    <row r="96" spans="1:15" ht="21.75" customHeight="1" x14ac:dyDescent="0.2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2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26"/>
      <c r="N97" s="4"/>
      <c r="O97" s="5"/>
    </row>
    <row r="98" spans="1:15" ht="21.75" customHeight="1" x14ac:dyDescent="0.2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26"/>
      <c r="N98" s="4"/>
      <c r="O98" s="5"/>
    </row>
    <row r="99" spans="1:15" ht="21.75" customHeight="1" x14ac:dyDescent="0.2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26"/>
      <c r="N99" s="4"/>
      <c r="O99" s="5"/>
    </row>
    <row r="100" spans="1:15" ht="21.75" customHeight="1" x14ac:dyDescent="0.2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2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2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2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2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2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2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2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2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2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26"/>
      <c r="N109" s="4"/>
      <c r="O109" s="5"/>
    </row>
    <row r="110" spans="1:15" ht="21.75" customHeight="1" x14ac:dyDescent="0.2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26"/>
      <c r="N110" s="4"/>
      <c r="O110" s="5"/>
    </row>
    <row r="111" spans="1:15" ht="21.75" customHeight="1" x14ac:dyDescent="0.2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26"/>
      <c r="N111" s="4"/>
      <c r="O111" s="5"/>
    </row>
    <row r="112" spans="1:15" ht="21.75" customHeight="1" x14ac:dyDescent="0.2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2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26"/>
      <c r="N113" s="4"/>
      <c r="O113" s="5"/>
    </row>
    <row r="114" spans="1:15" ht="21.75" customHeight="1" x14ac:dyDescent="0.2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26"/>
      <c r="N114" s="4"/>
      <c r="O114" s="5"/>
    </row>
    <row r="115" spans="1:15" ht="21.75" customHeight="1" x14ac:dyDescent="0.2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26"/>
      <c r="N115" s="4"/>
      <c r="O115" s="5"/>
    </row>
    <row r="116" spans="1:15" ht="21.75" customHeight="1" x14ac:dyDescent="0.2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2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2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2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2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2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2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2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2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2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26"/>
      <c r="N125" s="4"/>
      <c r="O125" s="5"/>
    </row>
    <row r="126" spans="1:15" ht="21.75" customHeight="1" x14ac:dyDescent="0.2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26"/>
      <c r="N126" s="4"/>
      <c r="O126" s="5"/>
    </row>
    <row r="127" spans="1:15" ht="21.75" customHeight="1" x14ac:dyDescent="0.2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26"/>
      <c r="N127" s="4"/>
      <c r="O127" s="5"/>
    </row>
    <row r="128" spans="1:15" ht="21.75" customHeight="1" x14ac:dyDescent="0.2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2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26"/>
      <c r="N129" s="4"/>
      <c r="O129" s="5"/>
    </row>
    <row r="130" spans="1:15" ht="21.75" customHeight="1" x14ac:dyDescent="0.2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26"/>
      <c r="N130" s="4"/>
      <c r="O130" s="5"/>
    </row>
    <row r="131" spans="1:15" ht="21.75" customHeight="1" x14ac:dyDescent="0.2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26"/>
      <c r="N131" s="4"/>
      <c r="O131" s="5"/>
    </row>
    <row r="132" spans="1:15" ht="21.75" customHeight="1" x14ac:dyDescent="0.2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2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2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2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2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2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2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2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2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2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26"/>
      <c r="N141" s="4"/>
      <c r="O141" s="5"/>
    </row>
    <row r="142" spans="1:15" ht="21.75" customHeight="1" x14ac:dyDescent="0.2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26"/>
      <c r="N142" s="4"/>
      <c r="O142" s="5"/>
    </row>
    <row r="143" spans="1:15" ht="21.75" customHeight="1" x14ac:dyDescent="0.2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26"/>
      <c r="N143" s="4"/>
      <c r="O143" s="5"/>
    </row>
    <row r="144" spans="1:15" ht="21.75" customHeight="1" x14ac:dyDescent="0.2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2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26"/>
      <c r="N145" s="4"/>
      <c r="O145" s="5"/>
    </row>
    <row r="146" spans="1:15" ht="21.75" customHeight="1" x14ac:dyDescent="0.2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26"/>
      <c r="N146" s="4"/>
      <c r="O146" s="5"/>
    </row>
    <row r="147" spans="1:15" ht="21.75" customHeight="1" x14ac:dyDescent="0.2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26"/>
      <c r="N147" s="4"/>
      <c r="O147" s="5"/>
    </row>
    <row r="148" spans="1:15" ht="21.75" customHeight="1" x14ac:dyDescent="0.2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2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2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2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2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2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2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2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2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2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26"/>
      <c r="N157" s="4"/>
      <c r="O157" s="5"/>
    </row>
    <row r="158" spans="1:15" ht="21.75" customHeight="1" x14ac:dyDescent="0.2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26"/>
      <c r="N158" s="4"/>
      <c r="O158" s="5"/>
    </row>
    <row r="159" spans="1:15" ht="21.75" customHeight="1" x14ac:dyDescent="0.2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26"/>
      <c r="N159" s="4"/>
      <c r="O159" s="5"/>
    </row>
    <row r="160" spans="1:15" ht="21.75" customHeight="1" x14ac:dyDescent="0.2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2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26"/>
      <c r="N161" s="4"/>
      <c r="O161" s="5"/>
    </row>
    <row r="162" spans="1:15" ht="21.75" customHeight="1" x14ac:dyDescent="0.2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26"/>
      <c r="N162" s="4"/>
      <c r="O162" s="5"/>
    </row>
    <row r="163" spans="1:15" ht="21.75" customHeight="1" x14ac:dyDescent="0.2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26"/>
      <c r="N163" s="4"/>
      <c r="O163" s="5"/>
    </row>
    <row r="164" spans="1:15" ht="21.75" customHeight="1" x14ac:dyDescent="0.2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2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2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2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2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2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2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2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2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2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26"/>
      <c r="N173" s="4"/>
      <c r="O173" s="5"/>
    </row>
    <row r="174" spans="1:15" ht="21.75" customHeight="1" x14ac:dyDescent="0.2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26"/>
      <c r="N174" s="4"/>
      <c r="O174" s="5"/>
    </row>
    <row r="175" spans="1:15" ht="21.75" customHeight="1" x14ac:dyDescent="0.2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26"/>
      <c r="N175" s="4"/>
      <c r="O175" s="5"/>
    </row>
    <row r="176" spans="1:15" ht="21.75" customHeight="1" x14ac:dyDescent="0.2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2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26"/>
      <c r="N177" s="4"/>
      <c r="O177" s="5"/>
    </row>
    <row r="178" spans="1:15" ht="21.75" customHeight="1" x14ac:dyDescent="0.2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26"/>
      <c r="N178" s="4"/>
      <c r="O178" s="5"/>
    </row>
    <row r="179" spans="1:15" ht="21.75" customHeight="1" x14ac:dyDescent="0.2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26"/>
      <c r="N179" s="4"/>
      <c r="O179" s="5"/>
    </row>
    <row r="180" spans="1:15" ht="21.75" customHeight="1" x14ac:dyDescent="0.2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2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2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2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2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2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2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2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2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2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26"/>
      <c r="N189" s="4"/>
      <c r="O189" s="5"/>
    </row>
    <row r="190" spans="1:15" ht="21.75" customHeight="1" x14ac:dyDescent="0.2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26"/>
      <c r="N190" s="4"/>
      <c r="O190" s="5"/>
    </row>
    <row r="191" spans="1:15" ht="21.75" customHeight="1" x14ac:dyDescent="0.2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26"/>
      <c r="N191" s="4"/>
      <c r="O191" s="5"/>
    </row>
    <row r="192" spans="1:15" ht="21.75" customHeight="1" x14ac:dyDescent="0.2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ht="21.75" customHeight="1" x14ac:dyDescent="0.2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26"/>
      <c r="N193" s="4"/>
      <c r="O193" s="5"/>
    </row>
    <row r="194" spans="1:15" ht="21.75" customHeight="1" x14ac:dyDescent="0.2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26"/>
      <c r="N194" s="4"/>
      <c r="O194" s="5"/>
    </row>
    <row r="195" spans="1:15" ht="21.75" customHeight="1" x14ac:dyDescent="0.2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26"/>
      <c r="N195" s="4"/>
      <c r="O195" s="5"/>
    </row>
    <row r="196" spans="1:15" ht="21.75" customHeight="1" x14ac:dyDescent="0.2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26"/>
      <c r="N196" s="4"/>
      <c r="O196" s="5"/>
    </row>
    <row r="197" spans="1:15" x14ac:dyDescent="0.2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2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2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2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2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2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2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2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2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2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2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2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2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A20:A64 B14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zoomScaleNormal="100" workbookViewId="0"/>
  </sheetViews>
  <sheetFormatPr defaultColWidth="9" defaultRowHeight="14.25" x14ac:dyDescent="0.25"/>
  <cols>
    <col min="1" max="1" width="14.1328125" style="1" customWidth="1"/>
    <col min="2" max="2" width="31.3984375" style="1" customWidth="1"/>
    <col min="3" max="3" width="9.3984375" style="1" bestFit="1" customWidth="1"/>
    <col min="4" max="4" width="12.3984375" style="1" customWidth="1"/>
    <col min="5" max="5" width="15.46484375" style="1" customWidth="1"/>
    <col min="6" max="6" width="13.1328125" style="1" bestFit="1" customWidth="1"/>
    <col min="7" max="7" width="16.73046875" style="1" customWidth="1"/>
    <col min="8" max="8" width="14.59765625" style="1" bestFit="1" customWidth="1"/>
    <col min="9" max="9" width="13.46484375" style="1" bestFit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bestFit="1" customWidth="1"/>
    <col min="15" max="15" width="14.73046875" style="1" bestFit="1" customWidth="1"/>
    <col min="16" max="16" width="15.46484375" style="1" customWidth="1"/>
    <col min="17" max="16384" width="9" style="1"/>
  </cols>
  <sheetData>
    <row r="1" spans="1:15" s="48" customFormat="1" ht="30.75" x14ac:dyDescent="0.25">
      <c r="A1" s="47" t="s">
        <v>166</v>
      </c>
      <c r="N1" s="49"/>
    </row>
    <row r="2" spans="1:15" s="48" customFormat="1" x14ac:dyDescent="0.25">
      <c r="A2" s="50" t="s">
        <v>69</v>
      </c>
      <c r="N2" s="51"/>
    </row>
    <row r="3" spans="1:15" s="48" customFormat="1" x14ac:dyDescent="0.25">
      <c r="A3" s="50" t="s">
        <v>69</v>
      </c>
      <c r="N3" s="51"/>
    </row>
    <row r="4" spans="1:15" s="48" customFormat="1" x14ac:dyDescent="0.25">
      <c r="A4" s="50" t="s">
        <v>163</v>
      </c>
      <c r="N4" s="51"/>
    </row>
    <row r="7" spans="1:15" ht="21" x14ac:dyDescent="0.25">
      <c r="A7" s="12" t="s">
        <v>65</v>
      </c>
      <c r="D7" s="12" t="s">
        <v>9</v>
      </c>
      <c r="N7" s="4"/>
      <c r="O7" s="5"/>
    </row>
    <row r="8" spans="1:15" x14ac:dyDescent="0.25">
      <c r="A8" s="6" t="s">
        <v>58</v>
      </c>
      <c r="B8" s="1" t="s">
        <v>61</v>
      </c>
      <c r="D8" s="6" t="s">
        <v>59</v>
      </c>
      <c r="E8" s="8" t="s">
        <v>60</v>
      </c>
      <c r="M8" s="2"/>
      <c r="N8" s="1"/>
    </row>
    <row r="9" spans="1:15" x14ac:dyDescent="0.25">
      <c r="A9" s="6" t="s">
        <v>0</v>
      </c>
      <c r="B9" s="1" t="s">
        <v>160</v>
      </c>
      <c r="D9" s="6" t="s">
        <v>76</v>
      </c>
      <c r="E9" s="22">
        <f>E13-SUM(E10:E12)</f>
        <v>10</v>
      </c>
      <c r="M9" s="2"/>
      <c r="N9" s="1"/>
    </row>
    <row r="10" spans="1:15" x14ac:dyDescent="0.25">
      <c r="A10" s="6" t="s">
        <v>11</v>
      </c>
      <c r="B10" s="43" t="s">
        <v>161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25">
      <c r="A11" s="6" t="s">
        <v>84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25">
      <c r="A12" s="6" t="s">
        <v>85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25">
      <c r="A13" s="6" t="s">
        <v>29</v>
      </c>
      <c r="B13" s="1" t="s">
        <v>162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25">
      <c r="A14" s="6" t="s">
        <v>78</v>
      </c>
      <c r="B14" s="1" t="s">
        <v>79</v>
      </c>
      <c r="D14" s="6" t="s">
        <v>7</v>
      </c>
      <c r="E14" s="9">
        <f>(E13-E9)/E13</f>
        <v>0</v>
      </c>
    </row>
    <row r="15" spans="1:15" ht="18" x14ac:dyDescent="0.25">
      <c r="A15" s="7"/>
    </row>
    <row r="16" spans="1:15" x14ac:dyDescent="0.25">
      <c r="A16" s="6"/>
      <c r="B16" s="8"/>
    </row>
    <row r="17" spans="1:16" s="11" customFormat="1" ht="21" x14ac:dyDescent="0.25">
      <c r="A17" s="12" t="s">
        <v>30</v>
      </c>
    </row>
    <row r="18" spans="1:16" s="17" customFormat="1" ht="15.75" x14ac:dyDescent="0.25">
      <c r="A18" s="61" t="s">
        <v>194</v>
      </c>
      <c r="B18" s="61"/>
      <c r="C18" s="62"/>
      <c r="D18" s="44" t="s">
        <v>21</v>
      </c>
      <c r="E18" s="44"/>
      <c r="F18" s="44"/>
      <c r="G18" s="44"/>
      <c r="H18" s="34" t="s">
        <v>77</v>
      </c>
      <c r="I18" s="45"/>
      <c r="J18" s="45"/>
      <c r="K18" s="45"/>
      <c r="L18" s="46" t="s">
        <v>32</v>
      </c>
      <c r="M18" s="46"/>
      <c r="N18" s="46"/>
      <c r="O18" s="46"/>
      <c r="P18" s="46"/>
    </row>
    <row r="19" spans="1:16" s="17" customFormat="1" ht="15.75" x14ac:dyDescent="0.25">
      <c r="A19" s="16" t="s">
        <v>66</v>
      </c>
      <c r="B19" s="16" t="s">
        <v>10</v>
      </c>
      <c r="C19" s="16" t="s">
        <v>67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62</v>
      </c>
      <c r="I19" s="16" t="s">
        <v>63</v>
      </c>
      <c r="J19" s="16" t="s">
        <v>64</v>
      </c>
      <c r="K19" s="16" t="s">
        <v>2</v>
      </c>
      <c r="L19" s="16" t="s">
        <v>3</v>
      </c>
      <c r="M19" s="16" t="s">
        <v>33</v>
      </c>
      <c r="N19" s="18" t="s">
        <v>68</v>
      </c>
      <c r="O19" s="16" t="s">
        <v>70</v>
      </c>
      <c r="P19" s="16" t="s">
        <v>34</v>
      </c>
    </row>
    <row r="20" spans="1:16" ht="21.75" customHeight="1" x14ac:dyDescent="0.25">
      <c r="A20" s="27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25">
      <c r="A21" s="27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2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2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2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2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2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2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2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2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2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37"/>
      <c r="N30" s="4"/>
      <c r="O30" s="5"/>
    </row>
    <row r="31" spans="1:16" ht="21.75" customHeight="1" x14ac:dyDescent="0.2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37"/>
      <c r="N31" s="4"/>
      <c r="O31" s="5"/>
    </row>
    <row r="32" spans="1:16" ht="21.75" customHeight="1" x14ac:dyDescent="0.2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37"/>
      <c r="N32" s="4"/>
      <c r="O32" s="5"/>
    </row>
    <row r="33" spans="1:15" ht="21.75" customHeight="1" x14ac:dyDescent="0.2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37"/>
      <c r="N33" s="4"/>
      <c r="O33" s="5"/>
    </row>
    <row r="34" spans="1:15" ht="21.75" customHeight="1" x14ac:dyDescent="0.25">
      <c r="A34" s="27"/>
      <c r="C34" s="15"/>
      <c r="D34" s="5"/>
      <c r="E34" s="5"/>
      <c r="F34" s="5"/>
      <c r="G34" s="5"/>
      <c r="H34" s="5"/>
      <c r="I34" s="5"/>
      <c r="J34" s="5"/>
      <c r="K34" s="5"/>
      <c r="L34" s="5"/>
      <c r="M34" s="37"/>
      <c r="N34" s="4"/>
      <c r="O34" s="5"/>
    </row>
    <row r="35" spans="1:15" ht="21.75" customHeight="1" x14ac:dyDescent="0.2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37"/>
      <c r="N35" s="4"/>
      <c r="O35" s="5"/>
    </row>
    <row r="36" spans="1:15" ht="21.75" customHeight="1" x14ac:dyDescent="0.2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37"/>
      <c r="N36" s="4"/>
      <c r="O36" s="5"/>
    </row>
    <row r="37" spans="1:15" ht="21.75" customHeight="1" x14ac:dyDescent="0.25">
      <c r="A37" s="27"/>
      <c r="C37" s="15"/>
      <c r="D37" s="5"/>
      <c r="E37" s="5"/>
      <c r="F37" s="5"/>
      <c r="G37" s="25"/>
      <c r="H37" s="5"/>
      <c r="I37" s="5"/>
      <c r="J37" s="5"/>
      <c r="K37" s="5"/>
      <c r="L37" s="5"/>
      <c r="M37" s="37"/>
      <c r="N37" s="4"/>
      <c r="O37" s="5"/>
    </row>
    <row r="38" spans="1:15" ht="21.75" customHeight="1" x14ac:dyDescent="0.25">
      <c r="A38" s="27"/>
      <c r="C38" s="15"/>
      <c r="D38" s="5"/>
      <c r="E38" s="5"/>
      <c r="F38" s="5"/>
      <c r="G38" s="5"/>
      <c r="H38" s="5"/>
      <c r="I38" s="5"/>
      <c r="J38" s="5"/>
      <c r="K38" s="5"/>
      <c r="L38" s="5"/>
      <c r="M38" s="37"/>
      <c r="N38" s="4"/>
      <c r="O38" s="5"/>
    </row>
    <row r="39" spans="1:15" ht="21.75" customHeight="1" x14ac:dyDescent="0.25">
      <c r="A39" s="27"/>
      <c r="C39" s="15"/>
      <c r="D39" s="5"/>
      <c r="E39" s="5"/>
      <c r="F39" s="5"/>
      <c r="G39" s="5"/>
      <c r="H39" s="5"/>
      <c r="I39" s="5"/>
      <c r="J39" s="5"/>
      <c r="K39" s="5"/>
      <c r="L39" s="5"/>
      <c r="M39" s="37"/>
      <c r="N39" s="4"/>
      <c r="O39" s="5"/>
    </row>
    <row r="40" spans="1:15" ht="21.75" customHeight="1" x14ac:dyDescent="0.25">
      <c r="A40" s="27"/>
      <c r="C40" s="15"/>
      <c r="D40" s="5"/>
      <c r="E40" s="5"/>
      <c r="F40" s="5"/>
      <c r="G40" s="28"/>
      <c r="H40" s="5"/>
      <c r="I40" s="5"/>
      <c r="J40" s="5"/>
      <c r="K40" s="5"/>
      <c r="L40" s="5"/>
      <c r="M40" s="37"/>
      <c r="N40" s="4"/>
      <c r="O40" s="5"/>
    </row>
    <row r="41" spans="1:15" ht="21.75" customHeight="1" x14ac:dyDescent="0.25">
      <c r="A41" s="27"/>
      <c r="C41" s="15"/>
      <c r="D41" s="5"/>
      <c r="E41" s="5"/>
      <c r="F41" s="5"/>
      <c r="G41" s="28"/>
      <c r="H41" s="5"/>
      <c r="I41" s="5"/>
      <c r="J41" s="5"/>
      <c r="K41" s="5"/>
      <c r="L41" s="5"/>
      <c r="M41" s="37"/>
      <c r="N41" s="4"/>
      <c r="O41" s="5"/>
    </row>
    <row r="42" spans="1:15" ht="21.75" customHeight="1" x14ac:dyDescent="0.25">
      <c r="A42" s="27"/>
      <c r="C42" s="15"/>
      <c r="D42" s="5"/>
      <c r="E42" s="5"/>
      <c r="F42" s="5"/>
      <c r="G42" s="28"/>
      <c r="H42" s="5"/>
      <c r="I42" s="5"/>
      <c r="J42" s="5"/>
      <c r="K42" s="5"/>
      <c r="L42" s="5"/>
      <c r="M42" s="37"/>
      <c r="N42" s="4"/>
      <c r="O42" s="5"/>
    </row>
    <row r="43" spans="1:15" ht="21.75" customHeight="1" x14ac:dyDescent="0.2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37"/>
      <c r="N43" s="4"/>
      <c r="O43" s="5"/>
    </row>
    <row r="44" spans="1:15" ht="21.75" customHeight="1" x14ac:dyDescent="0.25">
      <c r="A44" s="27"/>
      <c r="C44" s="15"/>
      <c r="D44" s="5"/>
      <c r="E44" s="5"/>
      <c r="F44" s="5"/>
      <c r="G44" s="29"/>
      <c r="H44" s="5"/>
      <c r="I44" s="5"/>
      <c r="J44" s="5"/>
      <c r="K44" s="5"/>
      <c r="L44" s="5"/>
      <c r="M44" s="37"/>
      <c r="N44" s="4"/>
      <c r="O44" s="5"/>
    </row>
    <row r="45" spans="1:15" ht="21.75" customHeight="1" x14ac:dyDescent="0.25">
      <c r="A45" s="27"/>
      <c r="C45" s="15"/>
      <c r="D45" s="5"/>
      <c r="E45" s="5"/>
      <c r="F45" s="5"/>
      <c r="G45" s="29"/>
      <c r="H45" s="5"/>
      <c r="I45" s="5"/>
      <c r="J45" s="5"/>
      <c r="K45" s="5"/>
      <c r="L45" s="5"/>
      <c r="M45" s="37"/>
      <c r="N45" s="4"/>
      <c r="O45" s="5"/>
    </row>
    <row r="46" spans="1:15" ht="21.75" customHeight="1" x14ac:dyDescent="0.25">
      <c r="A46" s="27"/>
      <c r="C46" s="15"/>
      <c r="D46" s="5"/>
      <c r="E46" s="5"/>
      <c r="F46" s="5"/>
      <c r="G46" s="29"/>
      <c r="H46" s="5"/>
      <c r="I46" s="5"/>
      <c r="J46" s="5"/>
      <c r="K46" s="5"/>
      <c r="L46" s="5"/>
      <c r="M46" s="37"/>
      <c r="N46" s="4"/>
      <c r="O46" s="5"/>
    </row>
    <row r="47" spans="1:15" ht="21.75" customHeight="1" x14ac:dyDescent="0.25">
      <c r="A47" s="27"/>
      <c r="C47" s="15"/>
      <c r="D47" s="5"/>
      <c r="E47" s="5"/>
      <c r="F47" s="5"/>
      <c r="G47" s="28"/>
      <c r="H47" s="5"/>
      <c r="I47" s="5"/>
      <c r="J47" s="5"/>
      <c r="K47" s="5"/>
      <c r="L47" s="5"/>
      <c r="M47" s="37"/>
      <c r="N47" s="4"/>
      <c r="O47" s="5"/>
    </row>
    <row r="48" spans="1:15" ht="21.75" customHeight="1" x14ac:dyDescent="0.2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37"/>
      <c r="N48" s="4"/>
      <c r="O48" s="5"/>
    </row>
    <row r="49" spans="1:15" ht="21.75" customHeight="1" x14ac:dyDescent="0.25">
      <c r="A49" s="27"/>
      <c r="C49" s="15"/>
      <c r="D49" s="5"/>
      <c r="E49" s="5"/>
      <c r="F49" s="5"/>
      <c r="G49" s="5"/>
      <c r="H49" s="5"/>
      <c r="I49" s="5"/>
      <c r="J49" s="5"/>
      <c r="K49" s="5"/>
      <c r="L49" s="5"/>
      <c r="M49" s="37"/>
      <c r="N49" s="4"/>
      <c r="O49" s="5"/>
    </row>
    <row r="50" spans="1:15" ht="21.75" customHeight="1" x14ac:dyDescent="0.2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37"/>
      <c r="N50" s="4"/>
      <c r="O50" s="5"/>
    </row>
    <row r="51" spans="1:15" ht="21.75" customHeight="1" x14ac:dyDescent="0.2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37"/>
      <c r="N51" s="4"/>
      <c r="O51" s="5"/>
    </row>
    <row r="52" spans="1:15" ht="21.75" customHeight="1" x14ac:dyDescent="0.25">
      <c r="A52" s="27"/>
      <c r="C52" s="15"/>
      <c r="D52" s="5"/>
      <c r="E52" s="5"/>
      <c r="F52" s="5"/>
      <c r="G52" s="28"/>
      <c r="H52" s="5"/>
      <c r="I52" s="5"/>
      <c r="J52" s="5"/>
      <c r="K52" s="5"/>
      <c r="L52" s="5"/>
      <c r="M52" s="37"/>
      <c r="N52" s="4"/>
      <c r="O52" s="5"/>
    </row>
    <row r="53" spans="1:15" ht="21.75" customHeight="1" x14ac:dyDescent="0.2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37"/>
      <c r="N53" s="4"/>
      <c r="O53" s="5"/>
    </row>
    <row r="54" spans="1:15" ht="21.75" customHeight="1" x14ac:dyDescent="0.2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37"/>
      <c r="N54" s="4"/>
      <c r="O54" s="5"/>
    </row>
    <row r="55" spans="1:15" ht="21.75" customHeight="1" x14ac:dyDescent="0.2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37"/>
      <c r="N55" s="4"/>
      <c r="O55" s="5"/>
    </row>
    <row r="56" spans="1:15" ht="21.75" customHeight="1" x14ac:dyDescent="0.2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37"/>
      <c r="N56" s="4"/>
      <c r="O56" s="5"/>
    </row>
    <row r="57" spans="1:15" ht="21.75" customHeight="1" x14ac:dyDescent="0.2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37"/>
      <c r="N57" s="4"/>
      <c r="O57" s="5"/>
    </row>
    <row r="58" spans="1:15" ht="21.75" customHeight="1" x14ac:dyDescent="0.25">
      <c r="A58" s="27"/>
      <c r="C58" s="15"/>
      <c r="D58" s="5"/>
      <c r="E58" s="5"/>
      <c r="F58" s="5"/>
      <c r="G58" s="5"/>
      <c r="H58" s="5"/>
      <c r="I58" s="5"/>
      <c r="J58" s="5"/>
      <c r="K58" s="5"/>
      <c r="L58" s="5"/>
      <c r="M58" s="37"/>
      <c r="N58" s="4"/>
      <c r="O58" s="5"/>
    </row>
    <row r="59" spans="1:15" ht="21.75" customHeight="1" x14ac:dyDescent="0.2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37"/>
      <c r="N59" s="4"/>
      <c r="O59" s="5"/>
    </row>
    <row r="60" spans="1:15" ht="21.75" customHeight="1" x14ac:dyDescent="0.2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37"/>
      <c r="N60" s="4"/>
      <c r="O60" s="5"/>
    </row>
    <row r="61" spans="1:15" ht="21.75" customHeight="1" x14ac:dyDescent="0.25">
      <c r="A61" s="27"/>
      <c r="C61" s="15"/>
      <c r="D61" s="5"/>
      <c r="E61" s="5"/>
      <c r="F61" s="5"/>
      <c r="G61" s="5"/>
      <c r="H61" s="5"/>
      <c r="I61" s="5"/>
      <c r="J61" s="5"/>
      <c r="K61" s="30"/>
      <c r="L61" s="5"/>
      <c r="M61" s="37"/>
      <c r="N61" s="4"/>
      <c r="O61" s="5"/>
    </row>
    <row r="62" spans="1:15" ht="21.75" customHeight="1" x14ac:dyDescent="0.25">
      <c r="A62" s="27"/>
      <c r="C62" s="15"/>
      <c r="D62" s="5"/>
      <c r="E62" s="5"/>
      <c r="F62" s="5"/>
      <c r="G62" s="5"/>
      <c r="H62" s="5"/>
      <c r="I62" s="5"/>
      <c r="J62" s="5"/>
      <c r="K62" s="5"/>
      <c r="L62" s="5"/>
      <c r="M62" s="37"/>
      <c r="N62" s="4"/>
      <c r="O62" s="5"/>
    </row>
    <row r="63" spans="1:15" ht="21.75" customHeight="1" x14ac:dyDescent="0.25">
      <c r="A63" s="27"/>
      <c r="C63" s="15"/>
      <c r="D63" s="5"/>
      <c r="E63" s="5"/>
      <c r="F63" s="5"/>
      <c r="G63" s="5"/>
      <c r="H63" s="5"/>
      <c r="I63" s="5"/>
      <c r="J63" s="5"/>
      <c r="K63" s="5"/>
      <c r="L63" s="5"/>
      <c r="M63" s="37"/>
      <c r="N63" s="4"/>
      <c r="O63" s="5"/>
    </row>
    <row r="64" spans="1:15" ht="21.75" customHeight="1" x14ac:dyDescent="0.25">
      <c r="A64" s="27"/>
      <c r="C64" s="15"/>
      <c r="D64" s="5"/>
      <c r="E64" s="5"/>
      <c r="F64" s="5"/>
      <c r="G64" s="5"/>
      <c r="H64" s="5"/>
      <c r="I64" s="5"/>
      <c r="J64" s="5"/>
      <c r="K64" s="5"/>
      <c r="L64" s="5"/>
      <c r="M64" s="37"/>
      <c r="N64" s="4"/>
      <c r="O64" s="5"/>
    </row>
    <row r="65" spans="1:15" ht="21.75" customHeight="1" x14ac:dyDescent="0.2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2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2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2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2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2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2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2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2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2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2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2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2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2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2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2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2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2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2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2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2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2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2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2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2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2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2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2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2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7"/>
      <c r="N93" s="4"/>
      <c r="O93" s="5"/>
    </row>
    <row r="94" spans="1:15" ht="21.75" customHeight="1" x14ac:dyDescent="0.2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7"/>
      <c r="N94" s="4"/>
      <c r="O94" s="5"/>
    </row>
    <row r="95" spans="1:15" ht="21.75" customHeight="1" x14ac:dyDescent="0.2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7"/>
      <c r="N95" s="4"/>
      <c r="O95" s="5"/>
    </row>
    <row r="96" spans="1:15" ht="21.75" customHeight="1" x14ac:dyDescent="0.2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7"/>
      <c r="N96" s="4"/>
      <c r="O96" s="5"/>
    </row>
    <row r="97" spans="1:15" ht="21.75" customHeight="1" x14ac:dyDescent="0.2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7"/>
      <c r="N97" s="4"/>
      <c r="O97" s="5"/>
    </row>
    <row r="98" spans="1:15" ht="21.75" customHeight="1" x14ac:dyDescent="0.2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7"/>
      <c r="N98" s="4"/>
      <c r="O98" s="5"/>
    </row>
    <row r="99" spans="1:15" ht="21.75" customHeight="1" x14ac:dyDescent="0.2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7"/>
      <c r="N99" s="4"/>
      <c r="O99" s="5"/>
    </row>
    <row r="100" spans="1:15" ht="21.75" customHeight="1" x14ac:dyDescent="0.2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7"/>
      <c r="N100" s="4"/>
      <c r="O100" s="5"/>
    </row>
    <row r="101" spans="1:15" ht="21.75" customHeight="1" x14ac:dyDescent="0.2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7"/>
      <c r="N101" s="4"/>
      <c r="O101" s="5"/>
    </row>
    <row r="102" spans="1:15" ht="21.75" customHeight="1" x14ac:dyDescent="0.2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7"/>
      <c r="N102" s="4"/>
      <c r="O102" s="5"/>
    </row>
    <row r="103" spans="1:15" ht="21.75" customHeight="1" x14ac:dyDescent="0.2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7"/>
      <c r="N103" s="4"/>
      <c r="O103" s="5"/>
    </row>
    <row r="104" spans="1:15" ht="21.75" customHeight="1" x14ac:dyDescent="0.2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7"/>
      <c r="N104" s="4"/>
      <c r="O104" s="5"/>
    </row>
    <row r="105" spans="1:15" ht="21.75" customHeight="1" x14ac:dyDescent="0.2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7"/>
      <c r="N105" s="4"/>
      <c r="O105" s="5"/>
    </row>
    <row r="106" spans="1:15" ht="21.75" customHeight="1" x14ac:dyDescent="0.2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7"/>
      <c r="N106" s="4"/>
      <c r="O106" s="5"/>
    </row>
    <row r="107" spans="1:15" ht="21.75" customHeight="1" x14ac:dyDescent="0.2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7"/>
      <c r="N107" s="4"/>
      <c r="O107" s="5"/>
    </row>
    <row r="108" spans="1:15" ht="21.75" customHeight="1" x14ac:dyDescent="0.2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7"/>
      <c r="N108" s="4"/>
      <c r="O108" s="5"/>
    </row>
    <row r="109" spans="1:15" ht="21.75" customHeight="1" x14ac:dyDescent="0.2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7"/>
      <c r="N109" s="4"/>
      <c r="O109" s="5"/>
    </row>
    <row r="110" spans="1:15" ht="21.75" customHeight="1" x14ac:dyDescent="0.2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7"/>
      <c r="N110" s="4"/>
      <c r="O110" s="5"/>
    </row>
    <row r="111" spans="1:15" ht="21.75" customHeight="1" x14ac:dyDescent="0.2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7"/>
      <c r="N111" s="4"/>
      <c r="O111" s="5"/>
    </row>
    <row r="112" spans="1:15" ht="21.75" customHeight="1" x14ac:dyDescent="0.2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7"/>
      <c r="N112" s="4"/>
      <c r="O112" s="5"/>
    </row>
    <row r="113" spans="1:15" ht="21.75" customHeight="1" x14ac:dyDescent="0.2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7"/>
      <c r="N113" s="4"/>
      <c r="O113" s="5"/>
    </row>
    <row r="114" spans="1:15" ht="21.75" customHeight="1" x14ac:dyDescent="0.2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7"/>
      <c r="N114" s="4"/>
      <c r="O114" s="5"/>
    </row>
    <row r="115" spans="1:15" ht="21.75" customHeight="1" x14ac:dyDescent="0.2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7"/>
      <c r="N115" s="4"/>
      <c r="O115" s="5"/>
    </row>
    <row r="116" spans="1:15" ht="21.75" customHeight="1" x14ac:dyDescent="0.2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7"/>
      <c r="N116" s="4"/>
      <c r="O116" s="5"/>
    </row>
    <row r="117" spans="1:15" ht="21.75" customHeight="1" x14ac:dyDescent="0.2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7"/>
      <c r="N117" s="4"/>
      <c r="O117" s="5"/>
    </row>
    <row r="118" spans="1:15" ht="21.75" customHeight="1" x14ac:dyDescent="0.2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7"/>
      <c r="N118" s="4"/>
      <c r="O118" s="5"/>
    </row>
    <row r="119" spans="1:15" ht="21.75" customHeight="1" x14ac:dyDescent="0.2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7"/>
      <c r="N119" s="4"/>
      <c r="O119" s="5"/>
    </row>
    <row r="120" spans="1:15" ht="21.75" customHeight="1" x14ac:dyDescent="0.2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7"/>
      <c r="N120" s="4"/>
      <c r="O120" s="5"/>
    </row>
    <row r="121" spans="1:15" ht="21.75" customHeight="1" x14ac:dyDescent="0.2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7"/>
      <c r="N121" s="4"/>
      <c r="O121" s="5"/>
    </row>
    <row r="122" spans="1:15" ht="21.75" customHeight="1" x14ac:dyDescent="0.2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7"/>
      <c r="N122" s="4"/>
      <c r="O122" s="5"/>
    </row>
    <row r="123" spans="1:15" ht="21.75" customHeight="1" x14ac:dyDescent="0.2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7"/>
      <c r="N123" s="4"/>
      <c r="O123" s="5"/>
    </row>
    <row r="124" spans="1:15" ht="21.75" customHeight="1" x14ac:dyDescent="0.2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7"/>
      <c r="N124" s="4"/>
      <c r="O124" s="5"/>
    </row>
    <row r="125" spans="1:15" ht="21.75" customHeight="1" x14ac:dyDescent="0.2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7"/>
      <c r="N125" s="4"/>
      <c r="O125" s="5"/>
    </row>
    <row r="126" spans="1:15" ht="21.75" customHeight="1" x14ac:dyDescent="0.2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7"/>
      <c r="N126" s="4"/>
      <c r="O126" s="5"/>
    </row>
    <row r="127" spans="1:15" ht="21.75" customHeight="1" x14ac:dyDescent="0.2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7"/>
      <c r="N127" s="4"/>
      <c r="O127" s="5"/>
    </row>
    <row r="128" spans="1:15" ht="21.75" customHeight="1" x14ac:dyDescent="0.2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7"/>
      <c r="N128" s="4"/>
      <c r="O128" s="5"/>
    </row>
    <row r="129" spans="1:15" ht="21.75" customHeight="1" x14ac:dyDescent="0.2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7"/>
      <c r="N129" s="4"/>
      <c r="O129" s="5"/>
    </row>
    <row r="130" spans="1:15" ht="21.75" customHeight="1" x14ac:dyDescent="0.2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7"/>
      <c r="N130" s="4"/>
      <c r="O130" s="5"/>
    </row>
    <row r="131" spans="1:15" ht="21.75" customHeight="1" x14ac:dyDescent="0.2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7"/>
      <c r="N131" s="4"/>
      <c r="O131" s="5"/>
    </row>
    <row r="132" spans="1:15" ht="21.75" customHeight="1" x14ac:dyDescent="0.2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7"/>
      <c r="N132" s="4"/>
      <c r="O132" s="5"/>
    </row>
    <row r="133" spans="1:15" ht="21.75" customHeight="1" x14ac:dyDescent="0.2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7"/>
      <c r="N133" s="4"/>
      <c r="O133" s="5"/>
    </row>
    <row r="134" spans="1:15" ht="21.75" customHeight="1" x14ac:dyDescent="0.2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7"/>
      <c r="N134" s="4"/>
      <c r="O134" s="5"/>
    </row>
    <row r="135" spans="1:15" ht="21.75" customHeight="1" x14ac:dyDescent="0.2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7"/>
      <c r="N135" s="4"/>
      <c r="O135" s="5"/>
    </row>
    <row r="136" spans="1:15" ht="21.75" customHeight="1" x14ac:dyDescent="0.2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7"/>
      <c r="N136" s="4"/>
      <c r="O136" s="5"/>
    </row>
    <row r="137" spans="1:15" ht="21.75" customHeight="1" x14ac:dyDescent="0.2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7"/>
      <c r="N137" s="4"/>
      <c r="O137" s="5"/>
    </row>
    <row r="138" spans="1:15" ht="21.75" customHeight="1" x14ac:dyDescent="0.2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7"/>
      <c r="N138" s="4"/>
      <c r="O138" s="5"/>
    </row>
    <row r="139" spans="1:15" ht="21.75" customHeight="1" x14ac:dyDescent="0.2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7"/>
      <c r="N139" s="4"/>
      <c r="O139" s="5"/>
    </row>
    <row r="140" spans="1:15" ht="21.75" customHeight="1" x14ac:dyDescent="0.2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7"/>
      <c r="N140" s="4"/>
      <c r="O140" s="5"/>
    </row>
    <row r="141" spans="1:15" ht="21.75" customHeight="1" x14ac:dyDescent="0.2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7"/>
      <c r="N141" s="4"/>
      <c r="O141" s="5"/>
    </row>
    <row r="142" spans="1:15" ht="21.75" customHeight="1" x14ac:dyDescent="0.2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7"/>
      <c r="N142" s="4"/>
      <c r="O142" s="5"/>
    </row>
    <row r="143" spans="1:15" ht="21.75" customHeight="1" x14ac:dyDescent="0.2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7"/>
      <c r="N143" s="4"/>
      <c r="O143" s="5"/>
    </row>
    <row r="144" spans="1:15" ht="21.75" customHeight="1" x14ac:dyDescent="0.2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7"/>
      <c r="N144" s="4"/>
      <c r="O144" s="5"/>
    </row>
    <row r="145" spans="1:15" ht="21.75" customHeight="1" x14ac:dyDescent="0.2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7"/>
      <c r="N145" s="4"/>
      <c r="O145" s="5"/>
    </row>
    <row r="146" spans="1:15" ht="21.75" customHeight="1" x14ac:dyDescent="0.2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7"/>
      <c r="N146" s="4"/>
      <c r="O146" s="5"/>
    </row>
    <row r="147" spans="1:15" ht="21.75" customHeight="1" x14ac:dyDescent="0.2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7"/>
      <c r="N147" s="4"/>
      <c r="O147" s="5"/>
    </row>
    <row r="148" spans="1:15" ht="21.75" customHeight="1" x14ac:dyDescent="0.2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7"/>
      <c r="N148" s="4"/>
      <c r="O148" s="5"/>
    </row>
    <row r="149" spans="1:15" ht="21.75" customHeight="1" x14ac:dyDescent="0.2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7"/>
      <c r="N149" s="4"/>
      <c r="O149" s="5"/>
    </row>
    <row r="150" spans="1:15" ht="21.75" customHeight="1" x14ac:dyDescent="0.2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7"/>
      <c r="N150" s="4"/>
      <c r="O150" s="5"/>
    </row>
    <row r="151" spans="1:15" ht="21.75" customHeight="1" x14ac:dyDescent="0.2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7"/>
      <c r="N151" s="4"/>
      <c r="O151" s="5"/>
    </row>
    <row r="152" spans="1:15" ht="21.75" customHeight="1" x14ac:dyDescent="0.2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7"/>
      <c r="N152" s="4"/>
      <c r="O152" s="5"/>
    </row>
    <row r="153" spans="1:15" ht="21.75" customHeight="1" x14ac:dyDescent="0.2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7"/>
      <c r="N153" s="4"/>
      <c r="O153" s="5"/>
    </row>
    <row r="154" spans="1:15" ht="21.75" customHeight="1" x14ac:dyDescent="0.2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7"/>
      <c r="N154" s="4"/>
      <c r="O154" s="5"/>
    </row>
    <row r="155" spans="1:15" ht="21.75" customHeight="1" x14ac:dyDescent="0.2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7"/>
      <c r="N155" s="4"/>
      <c r="O155" s="5"/>
    </row>
    <row r="156" spans="1:15" ht="21.75" customHeight="1" x14ac:dyDescent="0.2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7"/>
      <c r="N156" s="4"/>
      <c r="O156" s="5"/>
    </row>
    <row r="157" spans="1:15" ht="21.75" customHeight="1" x14ac:dyDescent="0.2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7"/>
      <c r="N157" s="4"/>
      <c r="O157" s="5"/>
    </row>
    <row r="158" spans="1:15" ht="21.75" customHeight="1" x14ac:dyDescent="0.2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7"/>
      <c r="N158" s="4"/>
      <c r="O158" s="5"/>
    </row>
    <row r="159" spans="1:15" ht="21.75" customHeight="1" x14ac:dyDescent="0.2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7"/>
      <c r="N159" s="4"/>
      <c r="O159" s="5"/>
    </row>
    <row r="160" spans="1:15" ht="21.75" customHeight="1" x14ac:dyDescent="0.2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7"/>
      <c r="N160" s="4"/>
      <c r="O160" s="5"/>
    </row>
    <row r="161" spans="1:15" ht="21.75" customHeight="1" x14ac:dyDescent="0.2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7"/>
      <c r="N161" s="4"/>
      <c r="O161" s="5"/>
    </row>
    <row r="162" spans="1:15" ht="21.75" customHeight="1" x14ac:dyDescent="0.2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7"/>
      <c r="N162" s="4"/>
      <c r="O162" s="5"/>
    </row>
    <row r="163" spans="1:15" ht="21.75" customHeight="1" x14ac:dyDescent="0.2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7"/>
      <c r="N163" s="4"/>
      <c r="O163" s="5"/>
    </row>
    <row r="164" spans="1:15" ht="21.75" customHeight="1" x14ac:dyDescent="0.2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7"/>
      <c r="N164" s="4"/>
      <c r="O164" s="5"/>
    </row>
    <row r="165" spans="1:15" ht="21.75" customHeight="1" x14ac:dyDescent="0.2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7"/>
      <c r="N165" s="4"/>
      <c r="O165" s="5"/>
    </row>
    <row r="166" spans="1:15" ht="21.75" customHeight="1" x14ac:dyDescent="0.2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7"/>
      <c r="N166" s="4"/>
      <c r="O166" s="5"/>
    </row>
    <row r="167" spans="1:15" ht="21.75" customHeight="1" x14ac:dyDescent="0.2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7"/>
      <c r="N167" s="4"/>
      <c r="O167" s="5"/>
    </row>
    <row r="168" spans="1:15" ht="21.75" customHeight="1" x14ac:dyDescent="0.2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7"/>
      <c r="N168" s="4"/>
      <c r="O168" s="5"/>
    </row>
    <row r="169" spans="1:15" ht="21.75" customHeight="1" x14ac:dyDescent="0.2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7"/>
      <c r="N169" s="4"/>
      <c r="O169" s="5"/>
    </row>
    <row r="170" spans="1:15" ht="21.75" customHeight="1" x14ac:dyDescent="0.2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7"/>
      <c r="N170" s="4"/>
      <c r="O170" s="5"/>
    </row>
    <row r="171" spans="1:15" ht="21.75" customHeight="1" x14ac:dyDescent="0.2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7"/>
      <c r="N171" s="4"/>
      <c r="O171" s="5"/>
    </row>
    <row r="172" spans="1:15" ht="21.75" customHeight="1" x14ac:dyDescent="0.2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7"/>
      <c r="N172" s="4"/>
      <c r="O172" s="5"/>
    </row>
    <row r="173" spans="1:15" ht="21.75" customHeight="1" x14ac:dyDescent="0.2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7"/>
      <c r="N173" s="4"/>
      <c r="O173" s="5"/>
    </row>
    <row r="174" spans="1:15" ht="21.75" customHeight="1" x14ac:dyDescent="0.2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7"/>
      <c r="N174" s="4"/>
      <c r="O174" s="5"/>
    </row>
    <row r="175" spans="1:15" ht="21.75" customHeight="1" x14ac:dyDescent="0.2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7"/>
      <c r="N175" s="4"/>
      <c r="O175" s="5"/>
    </row>
    <row r="176" spans="1:15" ht="21.75" customHeight="1" x14ac:dyDescent="0.2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7"/>
      <c r="N176" s="4"/>
      <c r="O176" s="5"/>
    </row>
    <row r="177" spans="1:15" ht="21.75" customHeight="1" x14ac:dyDescent="0.2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7"/>
      <c r="N177" s="4"/>
      <c r="O177" s="5"/>
    </row>
    <row r="178" spans="1:15" ht="21.75" customHeight="1" x14ac:dyDescent="0.2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7"/>
      <c r="N178" s="4"/>
      <c r="O178" s="5"/>
    </row>
    <row r="179" spans="1:15" ht="21.75" customHeight="1" x14ac:dyDescent="0.2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7"/>
      <c r="N179" s="4"/>
      <c r="O179" s="5"/>
    </row>
    <row r="180" spans="1:15" ht="21.75" customHeight="1" x14ac:dyDescent="0.2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7"/>
      <c r="N180" s="4"/>
      <c r="O180" s="5"/>
    </row>
    <row r="181" spans="1:15" ht="21.75" customHeight="1" x14ac:dyDescent="0.2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7"/>
      <c r="N181" s="4"/>
      <c r="O181" s="5"/>
    </row>
    <row r="182" spans="1:15" ht="21.75" customHeight="1" x14ac:dyDescent="0.2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7"/>
      <c r="N182" s="4"/>
      <c r="O182" s="5"/>
    </row>
    <row r="183" spans="1:15" ht="21.75" customHeight="1" x14ac:dyDescent="0.2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7"/>
      <c r="N183" s="4"/>
      <c r="O183" s="5"/>
    </row>
    <row r="184" spans="1:15" ht="21.75" customHeight="1" x14ac:dyDescent="0.2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7"/>
      <c r="N184" s="4"/>
      <c r="O184" s="5"/>
    </row>
    <row r="185" spans="1:15" ht="21.75" customHeight="1" x14ac:dyDescent="0.2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7"/>
      <c r="N185" s="4"/>
      <c r="O185" s="5"/>
    </row>
    <row r="186" spans="1:15" ht="21.75" customHeight="1" x14ac:dyDescent="0.2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7"/>
      <c r="N186" s="4"/>
      <c r="O186" s="5"/>
    </row>
    <row r="187" spans="1:15" ht="21.75" customHeight="1" x14ac:dyDescent="0.2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7"/>
      <c r="N187" s="4"/>
      <c r="O187" s="5"/>
    </row>
    <row r="188" spans="1:15" ht="21.75" customHeight="1" x14ac:dyDescent="0.2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7"/>
      <c r="N188" s="4"/>
      <c r="O188" s="5"/>
    </row>
    <row r="189" spans="1:15" ht="21.75" customHeight="1" x14ac:dyDescent="0.2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7"/>
      <c r="N189" s="4"/>
      <c r="O189" s="5"/>
    </row>
    <row r="190" spans="1:15" ht="21.75" customHeight="1" x14ac:dyDescent="0.2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7"/>
      <c r="N190" s="4"/>
      <c r="O190" s="5"/>
    </row>
    <row r="191" spans="1:15" ht="21.75" customHeight="1" x14ac:dyDescent="0.2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7"/>
      <c r="N191" s="4"/>
      <c r="O191" s="5"/>
    </row>
    <row r="192" spans="1:15" ht="21.75" customHeight="1" x14ac:dyDescent="0.2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7"/>
      <c r="N192" s="4"/>
      <c r="O192" s="5"/>
    </row>
    <row r="193" spans="1:15" ht="21.75" customHeight="1" x14ac:dyDescent="0.2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7"/>
      <c r="N193" s="4"/>
      <c r="O193" s="5"/>
    </row>
    <row r="194" spans="1:15" ht="21.75" customHeight="1" x14ac:dyDescent="0.2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7"/>
      <c r="N194" s="4"/>
      <c r="O194" s="5"/>
    </row>
    <row r="195" spans="1:15" ht="21.75" customHeight="1" x14ac:dyDescent="0.2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7"/>
      <c r="N195" s="4"/>
      <c r="O195" s="5"/>
    </row>
    <row r="196" spans="1:15" ht="21.75" customHeight="1" x14ac:dyDescent="0.2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7"/>
      <c r="N196" s="4"/>
      <c r="O196" s="5"/>
    </row>
    <row r="197" spans="1:15" x14ac:dyDescent="0.2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2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2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2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2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2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2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2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2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2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2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2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2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zoomScaleNormal="100" workbookViewId="0"/>
  </sheetViews>
  <sheetFormatPr defaultColWidth="9" defaultRowHeight="14.25" x14ac:dyDescent="0.25"/>
  <cols>
    <col min="1" max="1" width="11.86328125" style="43" customWidth="1"/>
    <col min="2" max="2" width="25.3984375" style="43" customWidth="1"/>
    <col min="3" max="3" width="12" style="43" bestFit="1" customWidth="1"/>
    <col min="4" max="4" width="8.86328125" style="43" bestFit="1" customWidth="1"/>
    <col min="5" max="5" width="8.265625" style="43" bestFit="1" customWidth="1"/>
    <col min="6" max="6" width="9.73046875" style="43" bestFit="1" customWidth="1"/>
    <col min="7" max="7" width="7.3984375" style="43" bestFit="1" customWidth="1"/>
    <col min="8" max="8" width="15.46484375" style="43" customWidth="1"/>
    <col min="9" max="9" width="19.265625" style="43" customWidth="1"/>
    <col min="10" max="16384" width="9" style="43"/>
  </cols>
  <sheetData>
    <row r="1" spans="1:14" s="53" customFormat="1" ht="30.75" x14ac:dyDescent="0.25">
      <c r="A1" s="52" t="s">
        <v>165</v>
      </c>
      <c r="N1" s="54"/>
    </row>
    <row r="2" spans="1:14" s="53" customFormat="1" x14ac:dyDescent="0.25">
      <c r="A2" s="55" t="s">
        <v>186</v>
      </c>
      <c r="N2" s="56"/>
    </row>
    <row r="3" spans="1:14" s="53" customFormat="1" x14ac:dyDescent="0.25">
      <c r="A3" s="55" t="s">
        <v>185</v>
      </c>
      <c r="N3" s="56"/>
    </row>
    <row r="4" spans="1:14" s="53" customFormat="1" x14ac:dyDescent="0.25">
      <c r="A4" s="55" t="s">
        <v>187</v>
      </c>
      <c r="N4" s="56"/>
    </row>
    <row r="5" spans="1:14" s="1" customFormat="1" x14ac:dyDescent="0.25">
      <c r="A5" s="3"/>
      <c r="N5" s="2"/>
    </row>
    <row r="6" spans="1:14" s="1" customFormat="1" x14ac:dyDescent="0.25">
      <c r="A6" s="3"/>
      <c r="N6" s="2"/>
    </row>
    <row r="7" spans="1:14" s="1" customFormat="1" x14ac:dyDescent="0.25">
      <c r="A7" s="3"/>
      <c r="N7" s="2"/>
    </row>
    <row r="8" spans="1:14" s="1" customFormat="1" x14ac:dyDescent="0.25">
      <c r="A8" s="43" t="s">
        <v>153</v>
      </c>
      <c r="B8" s="43" t="s">
        <v>154</v>
      </c>
      <c r="N8" s="2"/>
    </row>
    <row r="9" spans="1:14" x14ac:dyDescent="0.25">
      <c r="A9" s="43" t="s">
        <v>76</v>
      </c>
      <c r="B9" s="41">
        <f>SUM(batchRunTBL[Not Tested])</f>
        <v>55</v>
      </c>
    </row>
    <row r="10" spans="1:14" x14ac:dyDescent="0.25">
      <c r="A10" s="43" t="s">
        <v>144</v>
      </c>
      <c r="B10" s="38">
        <f>SUM(batchRunTBL[Passed])</f>
        <v>0</v>
      </c>
    </row>
    <row r="11" spans="1:14" x14ac:dyDescent="0.25">
      <c r="A11" s="43" t="s">
        <v>145</v>
      </c>
      <c r="B11" s="39">
        <f>SUM(batchRunTBL[Failed])</f>
        <v>0</v>
      </c>
    </row>
    <row r="12" spans="1:14" x14ac:dyDescent="0.25">
      <c r="A12" s="43" t="s">
        <v>150</v>
      </c>
      <c r="B12" s="40">
        <f>SUM(batchRunTBL[Skipped])</f>
        <v>0</v>
      </c>
    </row>
    <row r="13" spans="1:14" x14ac:dyDescent="0.25">
      <c r="A13" s="43" t="s">
        <v>151</v>
      </c>
      <c r="B13" s="43">
        <f>SUM(batchRunTBL[Total])</f>
        <v>55</v>
      </c>
    </row>
    <row r="14" spans="1:14" x14ac:dyDescent="0.25">
      <c r="A14" s="43" t="s">
        <v>155</v>
      </c>
      <c r="B14" s="57">
        <f>(B13-B9)/B13</f>
        <v>0</v>
      </c>
    </row>
    <row r="16" spans="1:14" ht="21" x14ac:dyDescent="0.25">
      <c r="A16" s="12" t="s">
        <v>148</v>
      </c>
    </row>
    <row r="17" spans="1:9" x14ac:dyDescent="0.25">
      <c r="A17" s="43" t="s">
        <v>181</v>
      </c>
      <c r="B17" s="43" t="s">
        <v>149</v>
      </c>
      <c r="C17" s="43" t="s">
        <v>76</v>
      </c>
      <c r="D17" s="43" t="s">
        <v>144</v>
      </c>
      <c r="E17" s="43" t="s">
        <v>145</v>
      </c>
      <c r="F17" s="43" t="s">
        <v>150</v>
      </c>
      <c r="G17" s="43" t="s">
        <v>151</v>
      </c>
      <c r="H17" s="43" t="s">
        <v>59</v>
      </c>
      <c r="I17" s="43" t="s">
        <v>152</v>
      </c>
    </row>
    <row r="18" spans="1:9" x14ac:dyDescent="0.25">
      <c r="A18" s="43" t="s">
        <v>79</v>
      </c>
      <c r="B18" s="43" t="s">
        <v>183</v>
      </c>
      <c r="C18" s="43">
        <v>45</v>
      </c>
      <c r="D18" s="43">
        <v>0</v>
      </c>
      <c r="E18" s="43">
        <v>0</v>
      </c>
      <c r="F18" s="43">
        <v>0</v>
      </c>
      <c r="G18" s="43">
        <v>45</v>
      </c>
      <c r="H18" s="43" t="s">
        <v>182</v>
      </c>
      <c r="I18" s="4"/>
    </row>
    <row r="19" spans="1:9" x14ac:dyDescent="0.25">
      <c r="A19" s="43" t="s">
        <v>79</v>
      </c>
      <c r="B19" s="43" t="s">
        <v>184</v>
      </c>
      <c r="C19" s="43">
        <v>10</v>
      </c>
      <c r="D19" s="43">
        <v>0</v>
      </c>
      <c r="E19" s="43">
        <v>0</v>
      </c>
      <c r="F19" s="43">
        <v>0</v>
      </c>
      <c r="G19" s="43">
        <v>10</v>
      </c>
      <c r="H19" s="43" t="s">
        <v>182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206"/>
  <sheetViews>
    <sheetView zoomScaleNormal="100" workbookViewId="0"/>
  </sheetViews>
  <sheetFormatPr defaultColWidth="9" defaultRowHeight="14.25" x14ac:dyDescent="0.25"/>
  <cols>
    <col min="1" max="1" width="14.1328125" style="1" customWidth="1"/>
    <col min="2" max="2" width="31.3984375" style="1" customWidth="1"/>
    <col min="3" max="3" width="9.86328125" style="1" customWidth="1"/>
    <col min="4" max="4" width="12.3984375" style="1" customWidth="1"/>
    <col min="5" max="5" width="15.46484375" style="1" customWidth="1"/>
    <col min="6" max="6" width="13.1328125" style="1" customWidth="1"/>
    <col min="7" max="7" width="16.73046875" style="1" customWidth="1"/>
    <col min="8" max="8" width="14.59765625" style="1" customWidth="1"/>
    <col min="9" max="9" width="13.46484375" style="1" customWidth="1"/>
    <col min="10" max="10" width="26.86328125" style="1" customWidth="1"/>
    <col min="11" max="11" width="17.3984375" style="1" customWidth="1"/>
    <col min="12" max="12" width="16" style="1" customWidth="1"/>
    <col min="13" max="13" width="16.59765625" style="1" customWidth="1"/>
    <col min="14" max="14" width="19.86328125" style="2" customWidth="1"/>
    <col min="15" max="15" width="14.73046875" style="1" customWidth="1"/>
    <col min="16" max="16" width="15.46484375" style="1" customWidth="1"/>
    <col min="17" max="16384" width="9" style="1"/>
  </cols>
  <sheetData>
    <row r="1" spans="1:15" s="48" customFormat="1" ht="30.75" x14ac:dyDescent="0.25">
      <c r="A1" s="47" t="s">
        <v>158</v>
      </c>
      <c r="N1" s="49"/>
    </row>
    <row r="2" spans="1:15" s="48" customFormat="1" x14ac:dyDescent="0.25">
      <c r="A2" s="50" t="s">
        <v>192</v>
      </c>
      <c r="N2" s="51"/>
    </row>
    <row r="3" spans="1:15" s="48" customFormat="1" x14ac:dyDescent="0.25">
      <c r="A3" s="50" t="s">
        <v>191</v>
      </c>
      <c r="N3" s="51"/>
    </row>
    <row r="4" spans="1:15" s="48" customFormat="1" x14ac:dyDescent="0.25">
      <c r="A4" s="58" t="s">
        <v>164</v>
      </c>
      <c r="N4" s="51"/>
    </row>
    <row r="7" spans="1:15" ht="21" x14ac:dyDescent="0.25">
      <c r="A7" s="12" t="s">
        <v>65</v>
      </c>
      <c r="D7" s="12" t="s">
        <v>9</v>
      </c>
      <c r="N7" s="4"/>
      <c r="O7" s="5"/>
    </row>
    <row r="8" spans="1:15" x14ac:dyDescent="0.25">
      <c r="A8" s="6" t="s">
        <v>58</v>
      </c>
      <c r="B8" s="1" t="s">
        <v>61</v>
      </c>
      <c r="D8" s="6" t="s">
        <v>59</v>
      </c>
      <c r="E8" s="8" t="s">
        <v>60</v>
      </c>
      <c r="M8" s="2"/>
      <c r="N8" s="1"/>
    </row>
    <row r="9" spans="1:15" x14ac:dyDescent="0.25">
      <c r="A9" s="6" t="s">
        <v>0</v>
      </c>
      <c r="B9" s="1" t="s">
        <v>160</v>
      </c>
      <c r="D9" s="6" t="s">
        <v>76</v>
      </c>
      <c r="E9" s="22">
        <f>E13-SUM(E10:E12)</f>
        <v>2</v>
      </c>
      <c r="M9" s="2"/>
      <c r="N9" s="1"/>
    </row>
    <row r="10" spans="1:15" x14ac:dyDescent="0.25">
      <c r="A10" s="6" t="s">
        <v>11</v>
      </c>
      <c r="B10" s="42" t="s">
        <v>156</v>
      </c>
      <c r="D10" s="6" t="s">
        <v>4</v>
      </c>
      <c r="E10" s="24">
        <f>COUNTIF(TestScriptTable11[Result],"Passed")</f>
        <v>0</v>
      </c>
      <c r="M10" s="2"/>
      <c r="N10" s="1"/>
    </row>
    <row r="11" spans="1:15" x14ac:dyDescent="0.25">
      <c r="A11" s="6" t="s">
        <v>84</v>
      </c>
      <c r="B11" s="1">
        <v>900</v>
      </c>
      <c r="D11" s="6" t="s">
        <v>5</v>
      </c>
      <c r="E11" s="23">
        <f>COUNTIF(TestScriptTable11[Result],"Failed")</f>
        <v>0</v>
      </c>
      <c r="M11" s="2"/>
      <c r="N11" s="1"/>
    </row>
    <row r="12" spans="1:15" x14ac:dyDescent="0.25">
      <c r="A12" s="6" t="s">
        <v>85</v>
      </c>
      <c r="B12" s="1">
        <v>700</v>
      </c>
      <c r="D12" s="6" t="s">
        <v>8</v>
      </c>
      <c r="E12" s="21">
        <f>COUNTIF(TestScriptTable11[Result],"Skipped*")</f>
        <v>0</v>
      </c>
      <c r="M12" s="2"/>
      <c r="N12" s="1"/>
    </row>
    <row r="13" spans="1:15" x14ac:dyDescent="0.25">
      <c r="A13" s="6" t="s">
        <v>29</v>
      </c>
      <c r="B13" s="1" t="s">
        <v>82</v>
      </c>
      <c r="D13" s="6" t="s">
        <v>6</v>
      </c>
      <c r="E13" s="8">
        <f>COUNTA(TestScriptTable11[runTarget])+COUNTBLANK(TestScriptTable11[runTarget])</f>
        <v>2</v>
      </c>
      <c r="M13" s="2"/>
      <c r="N13" s="1"/>
    </row>
    <row r="14" spans="1:15" x14ac:dyDescent="0.25">
      <c r="A14" s="6" t="s">
        <v>78</v>
      </c>
      <c r="B14" s="1" t="s">
        <v>83</v>
      </c>
      <c r="D14" s="6" t="s">
        <v>7</v>
      </c>
      <c r="E14" s="9">
        <f>(E13-E9)/E13</f>
        <v>0</v>
      </c>
    </row>
    <row r="15" spans="1:15" ht="18" x14ac:dyDescent="0.25">
      <c r="A15" s="7"/>
    </row>
    <row r="16" spans="1:15" x14ac:dyDescent="0.25">
      <c r="A16" s="6"/>
      <c r="B16" s="8"/>
    </row>
    <row r="17" spans="1:16" s="11" customFormat="1" ht="21" x14ac:dyDescent="0.25">
      <c r="A17" s="12" t="s">
        <v>30</v>
      </c>
    </row>
    <row r="18" spans="1:16" s="36" customFormat="1" ht="15.75" x14ac:dyDescent="0.25">
      <c r="A18" s="31"/>
      <c r="B18" s="31"/>
      <c r="C18" s="32"/>
      <c r="D18" s="33" t="s">
        <v>21</v>
      </c>
      <c r="E18" s="33"/>
      <c r="F18" s="33"/>
      <c r="G18" s="33"/>
      <c r="H18" s="34" t="s">
        <v>77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25">
      <c r="A19" s="16" t="s">
        <v>66</v>
      </c>
      <c r="B19" s="16" t="s">
        <v>10</v>
      </c>
      <c r="C19" s="16" t="s">
        <v>67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62</v>
      </c>
      <c r="I19" s="16" t="s">
        <v>63</v>
      </c>
      <c r="J19" s="16" t="s">
        <v>64</v>
      </c>
      <c r="K19" s="16" t="s">
        <v>2</v>
      </c>
      <c r="L19" s="16" t="s">
        <v>3</v>
      </c>
      <c r="M19" s="16" t="s">
        <v>33</v>
      </c>
      <c r="N19" s="18" t="s">
        <v>68</v>
      </c>
      <c r="O19" s="16" t="s">
        <v>70</v>
      </c>
      <c r="P19" s="16" t="s">
        <v>34</v>
      </c>
    </row>
    <row r="20" spans="1:16" ht="21.75" customHeight="1" x14ac:dyDescent="0.25">
      <c r="A20" s="27" t="s">
        <v>80</v>
      </c>
      <c r="B20" s="1" t="s">
        <v>168</v>
      </c>
      <c r="C20" s="15" t="str">
        <f>"checkLatest"&amp;ROW()-19</f>
        <v>checkLatest1</v>
      </c>
      <c r="D20" s="5" t="s">
        <v>37</v>
      </c>
      <c r="E20" s="5"/>
      <c r="F20" s="5" t="s">
        <v>157</v>
      </c>
      <c r="G20" s="5"/>
      <c r="H20" s="5" t="s">
        <v>45</v>
      </c>
      <c r="I20" s="5" t="s">
        <v>51</v>
      </c>
      <c r="J20" s="5" t="s">
        <v>159</v>
      </c>
      <c r="K20" s="5" t="s">
        <v>198</v>
      </c>
      <c r="L20" s="5"/>
      <c r="M20"/>
      <c r="N20" s="4"/>
      <c r="O20" s="5"/>
    </row>
    <row r="21" spans="1:16" ht="21.75" customHeight="1" x14ac:dyDescent="0.25">
      <c r="A21" s="27" t="s">
        <v>80</v>
      </c>
      <c r="C21" s="15" t="str">
        <f>"checkLatest"&amp;ROW()-19</f>
        <v>checkLatest2</v>
      </c>
      <c r="D21" s="5" t="s">
        <v>50</v>
      </c>
      <c r="E21" s="5"/>
      <c r="F21" s="5"/>
      <c r="G21" s="5">
        <v>10000</v>
      </c>
      <c r="H21" s="5" t="s">
        <v>43</v>
      </c>
      <c r="I21" s="5"/>
      <c r="J21" s="5"/>
      <c r="K21" s="5" t="str">
        <f>"Release " &amp;K20 &amp; " · ssugiya/Spreadsheetnium · GitHub"</f>
        <v>Release v0.0.3 · ssugiya/Spreadsheetnium · GitHub</v>
      </c>
      <c r="L21" s="5"/>
      <c r="M21"/>
      <c r="N21" s="4"/>
      <c r="O21" s="5"/>
    </row>
    <row r="22" spans="1:16" ht="21.75" customHeight="1" x14ac:dyDescent="0.2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 s="26"/>
      <c r="N22" s="4"/>
      <c r="O22" s="5"/>
    </row>
    <row r="23" spans="1:16" ht="21.75" customHeight="1" x14ac:dyDescent="0.2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 s="26"/>
      <c r="N23" s="4"/>
      <c r="O23" s="5"/>
    </row>
    <row r="24" spans="1:16" ht="21.75" customHeight="1" x14ac:dyDescent="0.2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 s="26"/>
      <c r="N24" s="4"/>
      <c r="O24" s="5"/>
    </row>
    <row r="25" spans="1:16" ht="21.75" customHeight="1" x14ac:dyDescent="0.2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 s="26"/>
      <c r="N25" s="4"/>
      <c r="O25" s="5"/>
    </row>
    <row r="26" spans="1:16" ht="21.75" customHeight="1" x14ac:dyDescent="0.2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 s="26"/>
      <c r="N26" s="4"/>
      <c r="O26" s="5"/>
    </row>
    <row r="27" spans="1:16" ht="21.75" customHeight="1" x14ac:dyDescent="0.2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 s="26"/>
      <c r="N27" s="4"/>
      <c r="O27" s="5"/>
    </row>
    <row r="28" spans="1:16" ht="21.75" customHeight="1" x14ac:dyDescent="0.2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 s="26"/>
      <c r="N28" s="4"/>
      <c r="O28" s="5"/>
    </row>
    <row r="29" spans="1:16" ht="21.75" customHeight="1" x14ac:dyDescent="0.2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 s="26"/>
      <c r="N29" s="4"/>
      <c r="O29" s="5"/>
    </row>
    <row r="30" spans="1:16" ht="21.75" customHeight="1" x14ac:dyDescent="0.2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26"/>
      <c r="N30" s="4"/>
      <c r="O30" s="5"/>
    </row>
    <row r="31" spans="1:16" ht="21.75" customHeight="1" x14ac:dyDescent="0.2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26"/>
      <c r="N31" s="4"/>
      <c r="O31" s="5"/>
    </row>
    <row r="32" spans="1:16" ht="21.75" customHeight="1" x14ac:dyDescent="0.2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26"/>
      <c r="N32" s="4"/>
      <c r="O32" s="5"/>
    </row>
    <row r="33" spans="1:15" ht="21.75" customHeight="1" x14ac:dyDescent="0.2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26"/>
      <c r="N33" s="4"/>
      <c r="O33" s="5"/>
    </row>
    <row r="34" spans="1:15" ht="21.75" customHeight="1" x14ac:dyDescent="0.25">
      <c r="A34" s="27"/>
      <c r="C34" s="15"/>
      <c r="D34" s="5"/>
      <c r="E34" s="5"/>
      <c r="F34" s="5"/>
      <c r="G34" s="25"/>
      <c r="H34" s="5"/>
      <c r="I34" s="5"/>
      <c r="J34" s="5"/>
      <c r="K34" s="5"/>
      <c r="L34" s="5"/>
      <c r="M34" s="26"/>
      <c r="N34" s="4"/>
      <c r="O34" s="5"/>
    </row>
    <row r="35" spans="1:15" ht="21.75" customHeight="1" x14ac:dyDescent="0.2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26"/>
      <c r="N35" s="4"/>
      <c r="O35" s="5"/>
    </row>
    <row r="36" spans="1:15" ht="21.75" customHeight="1" x14ac:dyDescent="0.2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26"/>
      <c r="N36" s="4"/>
      <c r="O36" s="5"/>
    </row>
    <row r="37" spans="1:15" ht="21.75" customHeight="1" x14ac:dyDescent="0.25">
      <c r="A37" s="27"/>
      <c r="C37" s="15"/>
      <c r="D37" s="5"/>
      <c r="E37" s="5"/>
      <c r="F37" s="5"/>
      <c r="G37" s="28"/>
      <c r="H37" s="5"/>
      <c r="I37" s="5"/>
      <c r="J37" s="5"/>
      <c r="K37" s="5"/>
      <c r="L37" s="5"/>
      <c r="M37" s="26"/>
      <c r="N37" s="4"/>
      <c r="O37" s="5"/>
    </row>
    <row r="38" spans="1:15" ht="21.75" customHeight="1" x14ac:dyDescent="0.25">
      <c r="A38" s="27"/>
      <c r="C38" s="15"/>
      <c r="D38" s="5"/>
      <c r="E38" s="5"/>
      <c r="F38" s="5"/>
      <c r="G38" s="28"/>
      <c r="H38" s="5"/>
      <c r="I38" s="5"/>
      <c r="J38" s="5"/>
      <c r="K38" s="5"/>
      <c r="L38" s="5"/>
      <c r="M38" s="26"/>
      <c r="N38" s="4"/>
      <c r="O38" s="5"/>
    </row>
    <row r="39" spans="1:15" ht="21.75" customHeight="1" x14ac:dyDescent="0.25">
      <c r="A39" s="27"/>
      <c r="C39" s="15"/>
      <c r="D39" s="5"/>
      <c r="E39" s="5"/>
      <c r="F39" s="5"/>
      <c r="G39" s="28"/>
      <c r="H39" s="5"/>
      <c r="I39" s="5"/>
      <c r="J39" s="5"/>
      <c r="K39" s="5"/>
      <c r="L39" s="5"/>
      <c r="M39" s="26"/>
      <c r="N39" s="4"/>
      <c r="O39" s="5"/>
    </row>
    <row r="40" spans="1:15" ht="21.75" customHeight="1" x14ac:dyDescent="0.25">
      <c r="A40" s="27"/>
      <c r="C40" s="15"/>
      <c r="D40" s="5"/>
      <c r="E40" s="5"/>
      <c r="F40" s="5"/>
      <c r="G40" s="29"/>
      <c r="H40" s="5"/>
      <c r="I40" s="5"/>
      <c r="J40" s="5"/>
      <c r="K40" s="5"/>
      <c r="L40" s="5"/>
      <c r="M40" s="26"/>
      <c r="N40" s="4"/>
      <c r="O40" s="5"/>
    </row>
    <row r="41" spans="1:15" ht="21.75" customHeight="1" x14ac:dyDescent="0.25">
      <c r="A41" s="27"/>
      <c r="C41" s="15"/>
      <c r="D41" s="5"/>
      <c r="E41" s="5"/>
      <c r="F41" s="5"/>
      <c r="G41" s="29"/>
      <c r="H41" s="5"/>
      <c r="I41" s="5"/>
      <c r="J41" s="5"/>
      <c r="K41" s="5"/>
      <c r="L41" s="5"/>
      <c r="M41" s="26"/>
      <c r="N41" s="4"/>
      <c r="O41" s="5"/>
    </row>
    <row r="42" spans="1:15" ht="21.75" customHeight="1" x14ac:dyDescent="0.25">
      <c r="A42" s="27"/>
      <c r="C42" s="15"/>
      <c r="D42" s="5"/>
      <c r="E42" s="5"/>
      <c r="F42" s="5"/>
      <c r="G42" s="29"/>
      <c r="H42" s="5"/>
      <c r="I42" s="5"/>
      <c r="J42" s="5"/>
      <c r="K42" s="5"/>
      <c r="L42" s="5"/>
      <c r="M42" s="26"/>
      <c r="N42" s="4"/>
      <c r="O42" s="5"/>
    </row>
    <row r="43" spans="1:15" ht="21.75" customHeight="1" x14ac:dyDescent="0.2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26"/>
      <c r="N43" s="4"/>
      <c r="O43" s="5"/>
    </row>
    <row r="44" spans="1:15" ht="21.75" customHeight="1" x14ac:dyDescent="0.25">
      <c r="A44" s="27"/>
      <c r="C44" s="15"/>
      <c r="D44" s="5"/>
      <c r="E44" s="5"/>
      <c r="F44" s="5"/>
      <c r="G44" s="28"/>
      <c r="H44" s="5"/>
      <c r="I44" s="5"/>
      <c r="J44" s="5"/>
      <c r="K44" s="5"/>
      <c r="L44" s="5"/>
      <c r="M44" s="26"/>
      <c r="N44" s="4"/>
      <c r="O44" s="5"/>
    </row>
    <row r="45" spans="1:15" ht="21.75" customHeight="1" x14ac:dyDescent="0.25">
      <c r="A45" s="27"/>
      <c r="C45" s="15"/>
      <c r="D45" s="5"/>
      <c r="E45" s="5"/>
      <c r="F45" s="5"/>
      <c r="G45" s="5"/>
      <c r="H45" s="5"/>
      <c r="I45" s="5"/>
      <c r="J45" s="5"/>
      <c r="K45" s="5"/>
      <c r="L45" s="5"/>
      <c r="M45" s="26"/>
      <c r="N45" s="4"/>
      <c r="O45" s="5"/>
    </row>
    <row r="46" spans="1:15" ht="21.75" customHeight="1" x14ac:dyDescent="0.25">
      <c r="A46" s="27"/>
      <c r="C46" s="15"/>
      <c r="D46" s="5"/>
      <c r="E46" s="5"/>
      <c r="F46" s="5"/>
      <c r="G46" s="5"/>
      <c r="H46" s="5"/>
      <c r="I46" s="5"/>
      <c r="J46" s="5"/>
      <c r="K46" s="5"/>
      <c r="L46" s="5"/>
      <c r="M46" s="26"/>
      <c r="N46" s="4"/>
      <c r="O46" s="5"/>
    </row>
    <row r="47" spans="1:15" ht="21.75" customHeight="1" x14ac:dyDescent="0.25">
      <c r="A47" s="27"/>
      <c r="C47" s="15"/>
      <c r="D47" s="5"/>
      <c r="E47" s="5"/>
      <c r="F47" s="5"/>
      <c r="G47" s="5"/>
      <c r="H47" s="5"/>
      <c r="I47" s="5"/>
      <c r="J47" s="5"/>
      <c r="K47" s="5"/>
      <c r="L47" s="5"/>
      <c r="M47" s="26"/>
      <c r="N47" s="4"/>
      <c r="O47" s="5"/>
    </row>
    <row r="48" spans="1:15" ht="21.75" customHeight="1" x14ac:dyDescent="0.2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26"/>
      <c r="N48" s="4"/>
      <c r="O48" s="5"/>
    </row>
    <row r="49" spans="1:15" ht="21.75" customHeight="1" x14ac:dyDescent="0.25">
      <c r="A49" s="27"/>
      <c r="C49" s="15"/>
      <c r="D49" s="5"/>
      <c r="E49" s="5"/>
      <c r="F49" s="5"/>
      <c r="G49" s="28"/>
      <c r="H49" s="5"/>
      <c r="I49" s="5"/>
      <c r="J49" s="5"/>
      <c r="K49" s="5"/>
      <c r="L49" s="5"/>
      <c r="M49" s="26"/>
      <c r="N49" s="4"/>
      <c r="O49" s="5"/>
    </row>
    <row r="50" spans="1:15" ht="21.75" customHeight="1" x14ac:dyDescent="0.2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26"/>
      <c r="N50" s="4"/>
      <c r="O50" s="5"/>
    </row>
    <row r="51" spans="1:15" ht="21.75" customHeight="1" x14ac:dyDescent="0.2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26"/>
      <c r="N51" s="4"/>
      <c r="O51" s="5"/>
    </row>
    <row r="52" spans="1:15" ht="21.75" customHeight="1" x14ac:dyDescent="0.25">
      <c r="A52" s="27"/>
      <c r="C52" s="15"/>
      <c r="D52" s="5"/>
      <c r="E52" s="5"/>
      <c r="F52" s="5"/>
      <c r="G52" s="5"/>
      <c r="H52" s="5"/>
      <c r="I52" s="5"/>
      <c r="J52" s="5"/>
      <c r="K52" s="5"/>
      <c r="L52" s="5"/>
      <c r="M52" s="26"/>
      <c r="N52" s="4"/>
      <c r="O52" s="5"/>
    </row>
    <row r="53" spans="1:15" ht="21.75" customHeight="1" x14ac:dyDescent="0.2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26"/>
      <c r="N53" s="4"/>
      <c r="O53" s="5"/>
    </row>
    <row r="54" spans="1:15" ht="21.75" customHeight="1" x14ac:dyDescent="0.2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26"/>
      <c r="N54" s="4"/>
      <c r="O54" s="5"/>
    </row>
    <row r="55" spans="1:15" ht="21.75" customHeight="1" x14ac:dyDescent="0.2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26"/>
      <c r="N55" s="4"/>
      <c r="O55" s="5"/>
    </row>
    <row r="56" spans="1:15" ht="21.75" customHeight="1" x14ac:dyDescent="0.2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26"/>
      <c r="N56" s="4"/>
      <c r="O56" s="5"/>
    </row>
    <row r="57" spans="1:15" ht="21.75" customHeight="1" x14ac:dyDescent="0.2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26"/>
      <c r="N57" s="4"/>
      <c r="O57" s="5"/>
    </row>
    <row r="58" spans="1:15" ht="21.75" customHeight="1" x14ac:dyDescent="0.25">
      <c r="A58" s="27"/>
      <c r="C58" s="15"/>
      <c r="D58" s="5"/>
      <c r="E58" s="5"/>
      <c r="F58" s="5"/>
      <c r="G58" s="5"/>
      <c r="H58" s="5"/>
      <c r="I58" s="5"/>
      <c r="J58" s="5"/>
      <c r="K58" s="30"/>
      <c r="L58" s="5"/>
      <c r="M58" s="26"/>
      <c r="N58" s="4"/>
      <c r="O58" s="5"/>
    </row>
    <row r="59" spans="1:15" ht="21.75" customHeight="1" x14ac:dyDescent="0.2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26"/>
      <c r="N59" s="4"/>
      <c r="O59" s="5"/>
    </row>
    <row r="60" spans="1:15" ht="21.75" customHeight="1" x14ac:dyDescent="0.2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26"/>
      <c r="N60" s="4"/>
      <c r="O60" s="5"/>
    </row>
    <row r="61" spans="1:15" ht="21.75" customHeight="1" x14ac:dyDescent="0.25">
      <c r="A61" s="27"/>
      <c r="C61" s="15"/>
      <c r="D61" s="5"/>
      <c r="E61" s="5"/>
      <c r="F61" s="5"/>
      <c r="G61" s="5"/>
      <c r="H61" s="5"/>
      <c r="I61" s="5"/>
      <c r="J61" s="5"/>
      <c r="K61" s="5"/>
      <c r="L61" s="5"/>
      <c r="M61" s="26"/>
      <c r="N61" s="4"/>
      <c r="O61" s="5"/>
    </row>
    <row r="62" spans="1:15" ht="21.75" customHeight="1" x14ac:dyDescent="0.25">
      <c r="A62" s="14"/>
      <c r="C62" s="15"/>
      <c r="D62" s="5"/>
      <c r="E62" s="5"/>
      <c r="F62" s="5"/>
      <c r="G62" s="5"/>
      <c r="H62" s="5"/>
      <c r="I62" s="5"/>
      <c r="J62" s="5"/>
      <c r="K62" s="5"/>
      <c r="L62" s="5"/>
      <c r="M62" s="25"/>
      <c r="N62" s="4"/>
      <c r="O62" s="5"/>
    </row>
    <row r="63" spans="1:15" ht="21.75" customHeight="1" x14ac:dyDescent="0.25">
      <c r="A63" s="14"/>
      <c r="C63" s="15"/>
      <c r="D63" s="5"/>
      <c r="E63" s="5"/>
      <c r="F63" s="5"/>
      <c r="G63" s="5"/>
      <c r="H63" s="5"/>
      <c r="I63" s="5"/>
      <c r="J63" s="5"/>
      <c r="K63" s="5"/>
      <c r="L63" s="5"/>
      <c r="M63" s="25"/>
      <c r="N63" s="4"/>
      <c r="O63" s="5"/>
    </row>
    <row r="64" spans="1:15" ht="21.75" customHeight="1" x14ac:dyDescent="0.25">
      <c r="A64" s="14"/>
      <c r="C64" s="15"/>
      <c r="D64" s="5"/>
      <c r="E64" s="5"/>
      <c r="F64" s="5"/>
      <c r="G64" s="5"/>
      <c r="H64" s="5"/>
      <c r="I64" s="5"/>
      <c r="J64" s="5"/>
      <c r="K64" s="5"/>
      <c r="L64" s="5"/>
      <c r="M64" s="5"/>
      <c r="N64" s="4"/>
      <c r="O64" s="5"/>
    </row>
    <row r="65" spans="1:15" ht="21.75" customHeight="1" x14ac:dyDescent="0.2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5"/>
      <c r="N65" s="4"/>
      <c r="O65" s="5"/>
    </row>
    <row r="66" spans="1:15" ht="21.75" customHeight="1" x14ac:dyDescent="0.2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5"/>
      <c r="N66" s="4"/>
      <c r="O66" s="5"/>
    </row>
    <row r="67" spans="1:15" ht="21.75" customHeight="1" x14ac:dyDescent="0.2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2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25">
      <c r="A69" s="13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25">
      <c r="A70" s="13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25">
      <c r="A71" s="13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2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2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2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2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25">
      <c r="A76" s="13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25">
      <c r="A77" s="13"/>
      <c r="C77" s="15"/>
      <c r="D77" s="5"/>
      <c r="E77" s="5"/>
      <c r="F77" s="5"/>
      <c r="G77" s="5"/>
      <c r="H77" s="5"/>
      <c r="I77" s="5"/>
      <c r="J77" s="5"/>
      <c r="K77" s="10"/>
      <c r="L77" s="10"/>
      <c r="M77" s="5"/>
      <c r="N77" s="4"/>
      <c r="O77" s="5"/>
    </row>
    <row r="78" spans="1:15" ht="21.75" customHeight="1" x14ac:dyDescent="0.25">
      <c r="A78" s="13"/>
      <c r="C78" s="15"/>
      <c r="D78" s="5"/>
      <c r="E78" s="5"/>
      <c r="F78" s="5"/>
      <c r="G78" s="5"/>
      <c r="H78" s="5"/>
      <c r="I78" s="5"/>
      <c r="J78" s="5"/>
      <c r="K78" s="20"/>
      <c r="L78" s="20"/>
      <c r="M78" s="5"/>
      <c r="N78" s="4"/>
      <c r="O78" s="5"/>
    </row>
    <row r="79" spans="1:15" ht="21.75" customHeight="1" x14ac:dyDescent="0.25">
      <c r="A79" s="13"/>
      <c r="C79" s="15"/>
      <c r="D79" s="5"/>
      <c r="E79" s="5"/>
      <c r="F79" s="5"/>
      <c r="G79" s="5"/>
      <c r="H79" s="5"/>
      <c r="I79" s="5"/>
      <c r="J79" s="5"/>
      <c r="K79" s="20"/>
      <c r="L79" s="20"/>
      <c r="M79" s="5"/>
      <c r="N79" s="4"/>
      <c r="O79" s="5"/>
    </row>
    <row r="80" spans="1:15" ht="21.75" customHeight="1" x14ac:dyDescent="0.2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25">
      <c r="A81" s="13"/>
      <c r="C81" s="15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25">
      <c r="A82" s="14"/>
      <c r="C82" s="15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25">
      <c r="A83" s="14"/>
      <c r="C83" s="15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25">
      <c r="A84" s="14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2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2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2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2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2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2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26"/>
      <c r="N90" s="4"/>
      <c r="O90" s="5"/>
    </row>
    <row r="91" spans="1:15" ht="21.75" customHeight="1" x14ac:dyDescent="0.2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26"/>
      <c r="N91" s="4"/>
      <c r="O91" s="5"/>
    </row>
    <row r="92" spans="1:15" ht="21.75" customHeight="1" x14ac:dyDescent="0.2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26"/>
      <c r="N92" s="4"/>
      <c r="O92" s="5"/>
    </row>
    <row r="93" spans="1:15" ht="21.75" customHeight="1" x14ac:dyDescent="0.25">
      <c r="A93" s="14"/>
      <c r="C93" s="15"/>
      <c r="D93" s="5"/>
      <c r="E93" s="5"/>
      <c r="F93" s="5"/>
      <c r="G93" s="5"/>
      <c r="H93" s="5"/>
      <c r="I93" s="5"/>
      <c r="J93" s="5"/>
      <c r="K93" s="10"/>
      <c r="L93" s="10"/>
      <c r="M93" s="26"/>
      <c r="N93" s="4"/>
      <c r="O93" s="5"/>
    </row>
    <row r="94" spans="1:15" ht="21.75" customHeight="1" x14ac:dyDescent="0.25">
      <c r="A94" s="14"/>
      <c r="C94" s="15"/>
      <c r="D94" s="5"/>
      <c r="E94" s="5"/>
      <c r="F94" s="5"/>
      <c r="G94" s="5"/>
      <c r="H94" s="5"/>
      <c r="I94" s="5"/>
      <c r="J94" s="5"/>
      <c r="K94" s="20"/>
      <c r="L94" s="20"/>
      <c r="M94" s="26"/>
      <c r="N94" s="4"/>
      <c r="O94" s="5"/>
    </row>
    <row r="95" spans="1:15" ht="21.75" customHeight="1" x14ac:dyDescent="0.25">
      <c r="A95" s="14"/>
      <c r="C95" s="15"/>
      <c r="D95" s="5"/>
      <c r="E95" s="5"/>
      <c r="F95" s="5"/>
      <c r="G95" s="5"/>
      <c r="H95" s="5"/>
      <c r="I95" s="5"/>
      <c r="J95" s="5"/>
      <c r="K95" s="20"/>
      <c r="L95" s="20"/>
      <c r="M95" s="26"/>
      <c r="N95" s="4"/>
      <c r="O95" s="5"/>
    </row>
    <row r="96" spans="1:15" ht="21.75" customHeight="1" x14ac:dyDescent="0.2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2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26"/>
      <c r="N97" s="4"/>
      <c r="O97" s="5"/>
    </row>
    <row r="98" spans="1:15" ht="21.75" customHeight="1" x14ac:dyDescent="0.2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26"/>
      <c r="N98" s="4"/>
      <c r="O98" s="5"/>
    </row>
    <row r="99" spans="1:15" ht="21.75" customHeight="1" x14ac:dyDescent="0.2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26"/>
      <c r="N99" s="4"/>
      <c r="O99" s="5"/>
    </row>
    <row r="100" spans="1:15" ht="21.75" customHeight="1" x14ac:dyDescent="0.2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2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2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2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2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2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2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2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2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25">
      <c r="A109" s="14"/>
      <c r="C109" s="15"/>
      <c r="D109" s="5"/>
      <c r="E109" s="5"/>
      <c r="F109" s="5"/>
      <c r="G109" s="5"/>
      <c r="H109" s="5"/>
      <c r="I109" s="5"/>
      <c r="J109" s="5"/>
      <c r="K109" s="10"/>
      <c r="L109" s="10"/>
      <c r="M109" s="26"/>
      <c r="N109" s="4"/>
      <c r="O109" s="5"/>
    </row>
    <row r="110" spans="1:15" ht="21.75" customHeight="1" x14ac:dyDescent="0.25">
      <c r="A110" s="14"/>
      <c r="C110" s="15"/>
      <c r="D110" s="5"/>
      <c r="E110" s="5"/>
      <c r="F110" s="5"/>
      <c r="G110" s="5"/>
      <c r="H110" s="5"/>
      <c r="I110" s="5"/>
      <c r="J110" s="5"/>
      <c r="K110" s="20"/>
      <c r="L110" s="20"/>
      <c r="M110" s="26"/>
      <c r="N110" s="4"/>
      <c r="O110" s="5"/>
    </row>
    <row r="111" spans="1:15" ht="21.75" customHeight="1" x14ac:dyDescent="0.25">
      <c r="A111" s="14"/>
      <c r="C111" s="15"/>
      <c r="D111" s="5"/>
      <c r="E111" s="5"/>
      <c r="F111" s="5"/>
      <c r="G111" s="5"/>
      <c r="H111" s="5"/>
      <c r="I111" s="5"/>
      <c r="J111" s="5"/>
      <c r="K111" s="20"/>
      <c r="L111" s="20"/>
      <c r="M111" s="26"/>
      <c r="N111" s="4"/>
      <c r="O111" s="5"/>
    </row>
    <row r="112" spans="1:15" ht="21.75" customHeight="1" x14ac:dyDescent="0.2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2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26"/>
      <c r="N113" s="4"/>
      <c r="O113" s="5"/>
    </row>
    <row r="114" spans="1:15" ht="21.75" customHeight="1" x14ac:dyDescent="0.2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26"/>
      <c r="N114" s="4"/>
      <c r="O114" s="5"/>
    </row>
    <row r="115" spans="1:15" ht="21.75" customHeight="1" x14ac:dyDescent="0.2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26"/>
      <c r="N115" s="4"/>
      <c r="O115" s="5"/>
    </row>
    <row r="116" spans="1:15" ht="21.75" customHeight="1" x14ac:dyDescent="0.2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2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2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2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2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2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2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2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2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25">
      <c r="A125" s="14"/>
      <c r="C125" s="15"/>
      <c r="D125" s="5"/>
      <c r="E125" s="5"/>
      <c r="F125" s="5"/>
      <c r="G125" s="5"/>
      <c r="H125" s="5"/>
      <c r="I125" s="5"/>
      <c r="J125" s="5"/>
      <c r="K125" s="10"/>
      <c r="L125" s="10"/>
      <c r="M125" s="26"/>
      <c r="N125" s="4"/>
      <c r="O125" s="5"/>
    </row>
    <row r="126" spans="1:15" ht="21.75" customHeight="1" x14ac:dyDescent="0.25">
      <c r="A126" s="14"/>
      <c r="C126" s="15"/>
      <c r="D126" s="5"/>
      <c r="E126" s="5"/>
      <c r="F126" s="5"/>
      <c r="G126" s="5"/>
      <c r="H126" s="5"/>
      <c r="I126" s="5"/>
      <c r="J126" s="5"/>
      <c r="K126" s="20"/>
      <c r="L126" s="20"/>
      <c r="M126" s="26"/>
      <c r="N126" s="4"/>
      <c r="O126" s="5"/>
    </row>
    <row r="127" spans="1:15" ht="21.75" customHeight="1" x14ac:dyDescent="0.25">
      <c r="A127" s="14"/>
      <c r="C127" s="15"/>
      <c r="D127" s="5"/>
      <c r="E127" s="5"/>
      <c r="F127" s="5"/>
      <c r="G127" s="5"/>
      <c r="H127" s="5"/>
      <c r="I127" s="5"/>
      <c r="J127" s="5"/>
      <c r="K127" s="20"/>
      <c r="L127" s="20"/>
      <c r="M127" s="26"/>
      <c r="N127" s="4"/>
      <c r="O127" s="5"/>
    </row>
    <row r="128" spans="1:15" ht="21.75" customHeight="1" x14ac:dyDescent="0.2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2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26"/>
      <c r="N129" s="4"/>
      <c r="O129" s="5"/>
    </row>
    <row r="130" spans="1:15" ht="21.75" customHeight="1" x14ac:dyDescent="0.2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26"/>
      <c r="N130" s="4"/>
      <c r="O130" s="5"/>
    </row>
    <row r="131" spans="1:15" ht="21.75" customHeight="1" x14ac:dyDescent="0.2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26"/>
      <c r="N131" s="4"/>
      <c r="O131" s="5"/>
    </row>
    <row r="132" spans="1:15" ht="21.75" customHeight="1" x14ac:dyDescent="0.2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2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2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2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2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2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2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2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2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25">
      <c r="A141" s="14"/>
      <c r="C141" s="15"/>
      <c r="D141" s="5"/>
      <c r="E141" s="5"/>
      <c r="F141" s="5"/>
      <c r="G141" s="5"/>
      <c r="H141" s="5"/>
      <c r="I141" s="5"/>
      <c r="J141" s="5"/>
      <c r="K141" s="10"/>
      <c r="L141" s="10"/>
      <c r="M141" s="26"/>
      <c r="N141" s="4"/>
      <c r="O141" s="5"/>
    </row>
    <row r="142" spans="1:15" ht="21.75" customHeight="1" x14ac:dyDescent="0.25">
      <c r="A142" s="14"/>
      <c r="C142" s="15"/>
      <c r="D142" s="5"/>
      <c r="E142" s="5"/>
      <c r="F142" s="5"/>
      <c r="G142" s="5"/>
      <c r="H142" s="5"/>
      <c r="I142" s="5"/>
      <c r="J142" s="5"/>
      <c r="K142" s="20"/>
      <c r="L142" s="20"/>
      <c r="M142" s="26"/>
      <c r="N142" s="4"/>
      <c r="O142" s="5"/>
    </row>
    <row r="143" spans="1:15" ht="21.75" customHeight="1" x14ac:dyDescent="0.25">
      <c r="A143" s="14"/>
      <c r="C143" s="15"/>
      <c r="D143" s="5"/>
      <c r="E143" s="5"/>
      <c r="F143" s="5"/>
      <c r="G143" s="5"/>
      <c r="H143" s="5"/>
      <c r="I143" s="5"/>
      <c r="J143" s="5"/>
      <c r="K143" s="20"/>
      <c r="L143" s="20"/>
      <c r="M143" s="26"/>
      <c r="N143" s="4"/>
      <c r="O143" s="5"/>
    </row>
    <row r="144" spans="1:15" ht="21.75" customHeight="1" x14ac:dyDescent="0.2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2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26"/>
      <c r="N145" s="4"/>
      <c r="O145" s="5"/>
    </row>
    <row r="146" spans="1:15" ht="21.75" customHeight="1" x14ac:dyDescent="0.2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26"/>
      <c r="N146" s="4"/>
      <c r="O146" s="5"/>
    </row>
    <row r="147" spans="1:15" ht="21.75" customHeight="1" x14ac:dyDescent="0.2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26"/>
      <c r="N147" s="4"/>
      <c r="O147" s="5"/>
    </row>
    <row r="148" spans="1:15" ht="21.75" customHeight="1" x14ac:dyDescent="0.2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2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2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2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2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2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2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2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2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25">
      <c r="A157" s="14"/>
      <c r="C157" s="15"/>
      <c r="D157" s="5"/>
      <c r="E157" s="5"/>
      <c r="F157" s="5"/>
      <c r="G157" s="5"/>
      <c r="H157" s="5"/>
      <c r="I157" s="5"/>
      <c r="J157" s="5"/>
      <c r="K157" s="10"/>
      <c r="L157" s="10"/>
      <c r="M157" s="26"/>
      <c r="N157" s="4"/>
      <c r="O157" s="5"/>
    </row>
    <row r="158" spans="1:15" ht="21.75" customHeight="1" x14ac:dyDescent="0.25">
      <c r="A158" s="14"/>
      <c r="C158" s="15"/>
      <c r="D158" s="5"/>
      <c r="E158" s="5"/>
      <c r="F158" s="5"/>
      <c r="G158" s="5"/>
      <c r="H158" s="5"/>
      <c r="I158" s="5"/>
      <c r="J158" s="5"/>
      <c r="K158" s="20"/>
      <c r="L158" s="20"/>
      <c r="M158" s="26"/>
      <c r="N158" s="4"/>
      <c r="O158" s="5"/>
    </row>
    <row r="159" spans="1:15" ht="21.75" customHeight="1" x14ac:dyDescent="0.25">
      <c r="A159" s="14"/>
      <c r="C159" s="15"/>
      <c r="D159" s="5"/>
      <c r="E159" s="5"/>
      <c r="F159" s="5"/>
      <c r="G159" s="5"/>
      <c r="H159" s="5"/>
      <c r="I159" s="5"/>
      <c r="J159" s="5"/>
      <c r="K159" s="20"/>
      <c r="L159" s="20"/>
      <c r="M159" s="26"/>
      <c r="N159" s="4"/>
      <c r="O159" s="5"/>
    </row>
    <row r="160" spans="1:15" ht="21.75" customHeight="1" x14ac:dyDescent="0.2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2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26"/>
      <c r="N161" s="4"/>
      <c r="O161" s="5"/>
    </row>
    <row r="162" spans="1:15" ht="21.75" customHeight="1" x14ac:dyDescent="0.2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26"/>
      <c r="N162" s="4"/>
      <c r="O162" s="5"/>
    </row>
    <row r="163" spans="1:15" ht="21.75" customHeight="1" x14ac:dyDescent="0.2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26"/>
      <c r="N163" s="4"/>
      <c r="O163" s="5"/>
    </row>
    <row r="164" spans="1:15" ht="21.75" customHeight="1" x14ac:dyDescent="0.2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2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2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2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2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2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2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2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2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25">
      <c r="A173" s="14"/>
      <c r="C173" s="15"/>
      <c r="D173" s="5"/>
      <c r="E173" s="5"/>
      <c r="F173" s="5"/>
      <c r="G173" s="5"/>
      <c r="H173" s="5"/>
      <c r="I173" s="5"/>
      <c r="J173" s="5"/>
      <c r="K173" s="10"/>
      <c r="L173" s="10"/>
      <c r="M173" s="26"/>
      <c r="N173" s="4"/>
      <c r="O173" s="5"/>
    </row>
    <row r="174" spans="1:15" ht="21.75" customHeight="1" x14ac:dyDescent="0.25">
      <c r="A174" s="14"/>
      <c r="C174" s="15"/>
      <c r="D174" s="5"/>
      <c r="E174" s="5"/>
      <c r="F174" s="5"/>
      <c r="G174" s="5"/>
      <c r="H174" s="5"/>
      <c r="I174" s="5"/>
      <c r="J174" s="5"/>
      <c r="K174" s="20"/>
      <c r="L174" s="20"/>
      <c r="M174" s="26"/>
      <c r="N174" s="4"/>
      <c r="O174" s="5"/>
    </row>
    <row r="175" spans="1:15" ht="21.75" customHeight="1" x14ac:dyDescent="0.25">
      <c r="A175" s="14"/>
      <c r="C175" s="15"/>
      <c r="D175" s="5"/>
      <c r="E175" s="5"/>
      <c r="F175" s="5"/>
      <c r="G175" s="5"/>
      <c r="H175" s="5"/>
      <c r="I175" s="5"/>
      <c r="J175" s="5"/>
      <c r="K175" s="20"/>
      <c r="L175" s="20"/>
      <c r="M175" s="26"/>
      <c r="N175" s="4"/>
      <c r="O175" s="5"/>
    </row>
    <row r="176" spans="1:15" ht="21.75" customHeight="1" x14ac:dyDescent="0.2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2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26"/>
      <c r="N177" s="4"/>
      <c r="O177" s="5"/>
    </row>
    <row r="178" spans="1:15" ht="21.75" customHeight="1" x14ac:dyDescent="0.2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26"/>
      <c r="N178" s="4"/>
      <c r="O178" s="5"/>
    </row>
    <row r="179" spans="1:15" ht="21.75" customHeight="1" x14ac:dyDescent="0.2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26"/>
      <c r="N179" s="4"/>
      <c r="O179" s="5"/>
    </row>
    <row r="180" spans="1:15" ht="21.75" customHeight="1" x14ac:dyDescent="0.2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2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2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2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2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2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2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2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2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25">
      <c r="A189" s="14"/>
      <c r="C189" s="15"/>
      <c r="D189" s="5"/>
      <c r="E189" s="5"/>
      <c r="F189" s="5"/>
      <c r="G189" s="5"/>
      <c r="H189" s="5"/>
      <c r="I189" s="5"/>
      <c r="J189" s="5"/>
      <c r="K189" s="10"/>
      <c r="L189" s="10"/>
      <c r="M189" s="26"/>
      <c r="N189" s="4"/>
      <c r="O189" s="5"/>
    </row>
    <row r="190" spans="1:15" ht="21.75" customHeight="1" x14ac:dyDescent="0.25">
      <c r="A190" s="14"/>
      <c r="C190" s="15"/>
      <c r="D190" s="5"/>
      <c r="E190" s="5"/>
      <c r="F190" s="5"/>
      <c r="G190" s="5"/>
      <c r="H190" s="5"/>
      <c r="I190" s="5"/>
      <c r="J190" s="5"/>
      <c r="K190" s="20"/>
      <c r="L190" s="20"/>
      <c r="M190" s="26"/>
      <c r="N190" s="4"/>
      <c r="O190" s="5"/>
    </row>
    <row r="191" spans="1:15" ht="21.75" customHeight="1" x14ac:dyDescent="0.25">
      <c r="A191" s="14"/>
      <c r="C191" s="15"/>
      <c r="D191" s="5"/>
      <c r="E191" s="5"/>
      <c r="F191" s="5"/>
      <c r="G191" s="5"/>
      <c r="H191" s="5"/>
      <c r="I191" s="5"/>
      <c r="J191" s="5"/>
      <c r="K191" s="20"/>
      <c r="L191" s="20"/>
      <c r="M191" s="26"/>
      <c r="N191" s="4"/>
      <c r="O191" s="5"/>
    </row>
    <row r="192" spans="1:15" ht="21.75" customHeight="1" x14ac:dyDescent="0.2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x14ac:dyDescent="0.2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26"/>
      <c r="N193" s="4"/>
      <c r="O193" s="5"/>
    </row>
    <row r="194" spans="1:15" x14ac:dyDescent="0.25">
      <c r="A194" s="14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"/>
      <c r="O194" s="5"/>
    </row>
    <row r="195" spans="1:15" x14ac:dyDescent="0.25">
      <c r="A195" s="14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"/>
      <c r="O195" s="5"/>
    </row>
    <row r="196" spans="1:15" x14ac:dyDescent="0.25">
      <c r="A196" s="14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"/>
      <c r="O196" s="5"/>
    </row>
    <row r="197" spans="1:15" x14ac:dyDescent="0.2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2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2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2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2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2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2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2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2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2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</sheetData>
  <dataConsolidate/>
  <phoneticPr fontId="1"/>
  <hyperlinks>
    <hyperlink ref="A4" r:id="rId1"/>
  </hyperlinks>
  <pageMargins left="0.7" right="0.7" top="0.75" bottom="0.75" header="0.3" footer="0.3"/>
  <pageSetup paperSize="9" scale="53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LISTBOX_DATA!$C$1:$C$5</xm:f>
          </x14:formula1>
          <xm:sqref>E20:E49</xm:sqref>
        </x14:dataValidation>
        <x14:dataValidation type="list" allowBlank="1" showInputMessage="1" showErrorMessage="1">
          <x14:formula1>
            <xm:f>LISTBOX_DATA!$D$1:$D$5</xm:f>
          </x14:formula1>
          <xm:sqref>H20:H49</xm:sqref>
        </x14:dataValidation>
        <x14:dataValidation type="list" allowBlank="1" showInputMessage="1" showErrorMessage="1">
          <x14:formula1>
            <xm:f>LISTBOX_DATA!$E$1:$E$4</xm:f>
          </x14:formula1>
          <xm:sqref>I20:I49</xm:sqref>
        </x14:dataValidation>
        <x14:dataValidation type="list" allowBlank="1" showInputMessage="1" showErrorMessage="1">
          <x14:formula1>
            <xm:f>LISTBOX_DATA!$F$1:$F$2</xm:f>
          </x14:formula1>
          <xm:sqref>A20:A21</xm:sqref>
        </x14:dataValidation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/>
  </sheetViews>
  <sheetFormatPr defaultColWidth="9" defaultRowHeight="14.25" x14ac:dyDescent="0.25"/>
  <cols>
    <col min="1" max="1" width="9" style="1" customWidth="1"/>
    <col min="2" max="4" width="9" style="1"/>
    <col min="5" max="5" width="10.59765625" style="1" bestFit="1" customWidth="1"/>
    <col min="6" max="16384" width="9" style="1"/>
  </cols>
  <sheetData>
    <row r="1" spans="1:6" x14ac:dyDescent="0.25">
      <c r="A1" s="1" t="s">
        <v>22</v>
      </c>
      <c r="B1" s="1" t="s">
        <v>25</v>
      </c>
      <c r="C1" s="1" t="s">
        <v>52</v>
      </c>
      <c r="D1" s="1" t="s">
        <v>44</v>
      </c>
      <c r="E1" s="1" t="s">
        <v>53</v>
      </c>
      <c r="F1" s="1" t="s">
        <v>80</v>
      </c>
    </row>
    <row r="2" spans="1:6" ht="15" x14ac:dyDescent="0.25">
      <c r="A2" s="1" t="s">
        <v>18</v>
      </c>
      <c r="B2" s="1" t="s">
        <v>20</v>
      </c>
      <c r="C2" s="1" t="s">
        <v>26</v>
      </c>
      <c r="D2" s="1" t="s">
        <v>45</v>
      </c>
      <c r="E2" s="1" t="s">
        <v>31</v>
      </c>
      <c r="F2" s="1" t="s">
        <v>81</v>
      </c>
    </row>
    <row r="3" spans="1:6" ht="15" x14ac:dyDescent="0.25">
      <c r="A3" s="1" t="s">
        <v>23</v>
      </c>
      <c r="B3" s="1" t="s">
        <v>28</v>
      </c>
      <c r="C3" s="1" t="s">
        <v>16</v>
      </c>
      <c r="D3" s="1" t="s">
        <v>46</v>
      </c>
      <c r="E3" s="1" t="s">
        <v>47</v>
      </c>
    </row>
    <row r="4" spans="1:6" ht="15" x14ac:dyDescent="0.25">
      <c r="A4" s="1" t="s">
        <v>195</v>
      </c>
      <c r="B4" s="1" t="s">
        <v>57</v>
      </c>
      <c r="C4" s="1" t="s">
        <v>15</v>
      </c>
      <c r="D4" s="1" t="s">
        <v>43</v>
      </c>
      <c r="E4" s="1" t="s">
        <v>55</v>
      </c>
    </row>
    <row r="5" spans="1:6" ht="15" x14ac:dyDescent="0.25">
      <c r="A5" s="1" t="s">
        <v>196</v>
      </c>
      <c r="B5" s="1" t="s">
        <v>38</v>
      </c>
      <c r="C5" s="1" t="s">
        <v>55</v>
      </c>
      <c r="D5" s="1" t="s">
        <v>42</v>
      </c>
    </row>
    <row r="6" spans="1:6" ht="15" x14ac:dyDescent="0.25">
      <c r="A6" s="1" t="s">
        <v>197</v>
      </c>
      <c r="B6" s="1" t="s">
        <v>36</v>
      </c>
    </row>
    <row r="7" spans="1:6" ht="15" x14ac:dyDescent="0.25">
      <c r="B7" s="1" t="s">
        <v>19</v>
      </c>
    </row>
    <row r="8" spans="1:6" x14ac:dyDescent="0.25">
      <c r="B8" s="1" t="s">
        <v>17</v>
      </c>
    </row>
    <row r="9" spans="1:6" x14ac:dyDescent="0.25">
      <c r="B9" s="1" t="s">
        <v>24</v>
      </c>
    </row>
    <row r="22" spans="2:2" x14ac:dyDescent="0.25">
      <c r="B22" s="1" t="s">
        <v>40</v>
      </c>
    </row>
    <row r="23" spans="2:2" x14ac:dyDescent="0.2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86</vt:i4>
      </vt:variant>
    </vt:vector>
  </HeadingPairs>
  <TitlesOfParts>
    <vt:vector size="91" baseType="lpstr">
      <vt:lpstr>sample_commandReference</vt:lpstr>
      <vt:lpstr>template</vt:lpstr>
      <vt:lpstr>BATCH_RUN</vt:lpstr>
      <vt:lpstr>CheckForUpdates</vt:lpstr>
      <vt:lpstr>LISTBOX_DATA</vt:lpstr>
      <vt:lpstr>CheckForUpdates!ActionTarget</vt:lpstr>
      <vt:lpstr>sample_commandReference!ActionTarget</vt:lpstr>
      <vt:lpstr>ActionTarget</vt:lpstr>
      <vt:lpstr>CheckForUpdates!ActionValue</vt:lpstr>
      <vt:lpstr>sample_commandReference!ActionValue</vt:lpstr>
      <vt:lpstr>ActionValue</vt:lpstr>
      <vt:lpstr>CheckForUpdates!ActualResult</vt:lpstr>
      <vt:lpstr>sample_commandReference!ActualResult</vt:lpstr>
      <vt:lpstr>ActualResult</vt:lpstr>
      <vt:lpstr>CheckForUpdates!baseURL</vt:lpstr>
      <vt:lpstr>sample_commandReference!baseURL</vt:lpstr>
      <vt:lpstr>baseURL</vt:lpstr>
      <vt:lpstr>sample_commandReference!batchFailed</vt:lpstr>
      <vt:lpstr>batchFailed</vt:lpstr>
      <vt:lpstr>sample_commandReference!batchNotTested</vt:lpstr>
      <vt:lpstr>batchNotTested</vt:lpstr>
      <vt:lpstr>sample_commandReference!batchPassed</vt:lpstr>
      <vt:lpstr>batchPassed</vt:lpstr>
      <vt:lpstr>sample_commandReference!batchSkipped</vt:lpstr>
      <vt:lpstr>batchSkipped</vt:lpstr>
      <vt:lpstr>sample_commandReference!batchTarget</vt:lpstr>
      <vt:lpstr>batchTarget</vt:lpstr>
      <vt:lpstr>sample_commandReference!batchTotal</vt:lpstr>
      <vt:lpstr>batchTotal</vt:lpstr>
      <vt:lpstr>CheckForUpdates!Command</vt:lpstr>
      <vt:lpstr>sample_commandReference!Command</vt:lpstr>
      <vt:lpstr>Command</vt:lpstr>
      <vt:lpstr>CheckForUpdates!DeleteCookie</vt:lpstr>
      <vt:lpstr>sample_commandReference!DeleteCookie</vt:lpstr>
      <vt:lpstr>DeleteCookie</vt:lpstr>
      <vt:lpstr>CheckForUpdates!Description</vt:lpstr>
      <vt:lpstr>sample_commandReference!Description</vt:lpstr>
      <vt:lpstr>Description</vt:lpstr>
      <vt:lpstr>CheckForUpdates!Error_Message</vt:lpstr>
      <vt:lpstr>sample_commandReference!Error_Message</vt:lpstr>
      <vt:lpstr>Error_Message</vt:lpstr>
      <vt:lpstr>CheckForUpdates!ExpectedResult</vt:lpstr>
      <vt:lpstr>sample_commandReference!ExpectedResult</vt:lpstr>
      <vt:lpstr>ExpectedResult</vt:lpstr>
      <vt:lpstr>CheckForUpdates!FindMethod</vt:lpstr>
      <vt:lpstr>sample_commandReference!FindMethod</vt:lpstr>
      <vt:lpstr>FindMethod</vt:lpstr>
      <vt:lpstr>CheckForUpdates!LastUpdate</vt:lpstr>
      <vt:lpstr>sample_commandReference!LastUpdate</vt:lpstr>
      <vt:lpstr>LastUpdate</vt:lpstr>
      <vt:lpstr>CheckForUpdates!Memo</vt:lpstr>
      <vt:lpstr>sample_commandReference!Memo</vt:lpstr>
      <vt:lpstr>Memo</vt:lpstr>
      <vt:lpstr>CheckForUpdates!Result</vt:lpstr>
      <vt:lpstr>sample_commandReference!Result</vt:lpstr>
      <vt:lpstr>Result</vt:lpstr>
      <vt:lpstr>ResultsSummary</vt:lpstr>
      <vt:lpstr>CheckForUpdates!runTarget</vt:lpstr>
      <vt:lpstr>sample_commandReference!runTarget</vt:lpstr>
      <vt:lpstr>runTarget</vt:lpstr>
      <vt:lpstr>CheckForUpdates!ScreenshotPath</vt:lpstr>
      <vt:lpstr>sample_commandReference!ScreenshotPath</vt:lpstr>
      <vt:lpstr>ScreenshotPath</vt:lpstr>
      <vt:lpstr>CheckForUpdates!scriptID</vt:lpstr>
      <vt:lpstr>sample_commandReference!scriptID</vt:lpstr>
      <vt:lpstr>scriptID</vt:lpstr>
      <vt:lpstr>sample_commandReference!SheetName</vt:lpstr>
      <vt:lpstr>SheetName</vt:lpstr>
      <vt:lpstr>sample_commandReference!status</vt:lpstr>
      <vt:lpstr>status</vt:lpstr>
      <vt:lpstr>CheckForUpdates!targetBrowser</vt:lpstr>
      <vt:lpstr>sample_commandReference!targetBrowser</vt:lpstr>
      <vt:lpstr>targetBrowser</vt:lpstr>
      <vt:lpstr>CheckForUpdates!TestScriptLabel</vt:lpstr>
      <vt:lpstr>sample_commandReference!TestScriptLabel</vt:lpstr>
      <vt:lpstr>TestScriptLabel</vt:lpstr>
      <vt:lpstr>CheckForUpdates!VerificationCommand</vt:lpstr>
      <vt:lpstr>sample_commandReference!VerificationCommand</vt:lpstr>
      <vt:lpstr>VerificationCommand</vt:lpstr>
      <vt:lpstr>CheckForUpdates!Verificationmethod</vt:lpstr>
      <vt:lpstr>sample_commandReference!Verificationmethod</vt:lpstr>
      <vt:lpstr>Verificationmethod</vt:lpstr>
      <vt:lpstr>CheckForUpdates!VerificationTarget</vt:lpstr>
      <vt:lpstr>sample_commandReference!VerificationTarget</vt:lpstr>
      <vt:lpstr>VerificationTarget</vt:lpstr>
      <vt:lpstr>CheckForUpdates!windowSizeH</vt:lpstr>
      <vt:lpstr>sample_commandReference!windowSizeH</vt:lpstr>
      <vt:lpstr>windowSizeH</vt:lpstr>
      <vt:lpstr>CheckForUpdates!windowSizeW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Sugiyama, Shinichi/杉山 真一</cp:lastModifiedBy>
  <cp:lastPrinted>2016-12-17T04:39:22Z</cp:lastPrinted>
  <dcterms:created xsi:type="dcterms:W3CDTF">2016-12-07T07:53:01Z</dcterms:created>
  <dcterms:modified xsi:type="dcterms:W3CDTF">2017-01-05T04:41:18Z</dcterms:modified>
</cp:coreProperties>
</file>