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5" windowWidth="28800" windowHeight="12105"/>
  </bookViews>
  <sheets>
    <sheet name="sample_commandReference" sheetId="16" r:id="rId1"/>
    <sheet name="template" sheetId="4" r:id="rId2"/>
    <sheet name="BATCH" sheetId="20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0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0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0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0">sample_commandReference!$B$10</definedName>
    <definedName name="baseURL" localSheetId="4">UPDATES!$B$10</definedName>
    <definedName name="baseURL">template!$B$10</definedName>
    <definedName name="batchTarget" localSheetId="2">batchRunTBL[[#Headers],[run target]]</definedName>
    <definedName name="Command" localSheetId="3">TestScriptTable3[[#Headers],[Command]]</definedName>
    <definedName name="Command" localSheetId="0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2">BATCH!$B$9</definedName>
    <definedName name="DeleteCookie" localSheetId="3">REPORT_RESULTS!$B$14</definedName>
    <definedName name="DeleteCookie" localSheetId="0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0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0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0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2">BATCH!$E$11</definedName>
    <definedName name="Failed" localSheetId="3">REPORT_RESULTS!$E$11</definedName>
    <definedName name="Failed" localSheetId="0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0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0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0">TestScriptTable9[[#Headers],[Memo]]</definedName>
    <definedName name="Memo" localSheetId="4">TestScriptTable12[[#Headers],[Memo2]]</definedName>
    <definedName name="Memo">TestScriptTable[[#Headers],[Memo]]</definedName>
    <definedName name="NotTested" localSheetId="2">BATCH!$E$9</definedName>
    <definedName name="NotTested" localSheetId="3">REPORT_RESULTS!$E$9</definedName>
    <definedName name="NotTested" localSheetId="0">sample_commandReference!$E$9</definedName>
    <definedName name="NotTested" localSheetId="4">UPDATES!$E$9</definedName>
    <definedName name="NotTested">template!$E$9</definedName>
    <definedName name="Passed" localSheetId="2">BATCH!$E$10</definedName>
    <definedName name="Passed" localSheetId="3">REPORT_RESULTS!$E$10</definedName>
    <definedName name="Passed" localSheetId="0">sample_commandReference!$E$10</definedName>
    <definedName name="Passed" localSheetId="4">UPDATES!$E$10</definedName>
    <definedName name="Passed">template!$E$10</definedName>
    <definedName name="Progressrate" localSheetId="2">BATCH!$E$14</definedName>
    <definedName name="Progressrate" localSheetId="3">REPORT_RESULTS!$E$14</definedName>
    <definedName name="Progressrate" localSheetId="0">sample_commandReference!$E$14</definedName>
    <definedName name="Progressrate" localSheetId="4">UPDATES!$E$14</definedName>
    <definedName name="Progressrate">template!$E$14</definedName>
    <definedName name="ReportResults" localSheetId="2">BATCH!$B$10</definedName>
    <definedName name="ReportResults" localSheetId="3">REPORT_RESULTS!$B$15</definedName>
    <definedName name="ReportResults" localSheetId="0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0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2">batchRunTBL[[#Headers],[run target]]</definedName>
    <definedName name="runTarget" localSheetId="3">TestScriptTable3[[#Headers],[runTarget]]</definedName>
    <definedName name="runTarget" localSheetId="0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0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0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2">batchRunTBL[[#Headers],[SheetName]]</definedName>
    <definedName name="Skipped" localSheetId="2">BATCH!$E$12</definedName>
    <definedName name="Skipped" localSheetId="3">REPORT_RESULTS!$E$12</definedName>
    <definedName name="Skipped" localSheetId="0">sample_commandReference!$E$12</definedName>
    <definedName name="Skipped" localSheetId="4">UPDATES!$E$12</definedName>
    <definedName name="Skipped">template!$E$12</definedName>
    <definedName name="status" localSheetId="2">batchRunTBL[[#Headers],[Status]]</definedName>
    <definedName name="StatusButton">"四角形: 角を丸くする 1"</definedName>
    <definedName name="targetBrowser" localSheetId="3">REPORT_RESULTS!$B$9</definedName>
    <definedName name="targetBrowser" localSheetId="0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0">sample_commandReference!$A$17</definedName>
    <definedName name="TestScriptLabel" localSheetId="4">UPDATES!$A$17</definedName>
    <definedName name="TestScriptLabel">template!$A$17</definedName>
    <definedName name="testTitle" localSheetId="2">BATCH!$A$1</definedName>
    <definedName name="testTitle" localSheetId="3">REPORT_RESULTS!$A$1</definedName>
    <definedName name="testTitle" localSheetId="0">sample_commandReference!$A$1</definedName>
    <definedName name="testTitle" localSheetId="4">UPDATES!$A$1</definedName>
    <definedName name="testTitle">template!$A$1</definedName>
    <definedName name="Total" localSheetId="2">BATCH!$E$13</definedName>
    <definedName name="Total" localSheetId="3">REPORT_RESULTS!$E$13</definedName>
    <definedName name="Total" localSheetId="0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0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0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0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0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0">sample_commandReference!$B$11</definedName>
    <definedName name="windowSizeW" localSheetId="4">UPDATES!$B$11</definedName>
    <definedName name="windowSizeW">template!$B$11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<sst xmlns="http://schemas.openxmlformats.org/spreadsheetml/2006/main" count="818" uniqueCount="282">
  <si>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</si>
  <si>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</si>
  <si>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</si>
  <si>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</si>
  <si>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</si>
  <si>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</si>
  <si>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</si>
  <si>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</si>
  <si>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</si>
  <si>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</si>
  <si>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</si>
  <si>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</si>
  <si>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</si>
  <si>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</si>
  <si>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</si>
  <si>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</si>
  <si>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</si>
  <si>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</si>
  <si>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</si>
  <si>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</si>
  <si>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</si>
  <si>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</si>
  <si>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</si>
  <si>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</si>
  <si>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</si>
  <si>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</si>
  <si>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</si>
  <si>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</si>
  <si>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</si>
  <si>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</si>
  <si>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</si>
  <si>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</si>
  <si>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</si>
  <si>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</si>
  <si>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</si>
  <si>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</si>
  <si>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</si>
  <si>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</si>
  <si>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</si>
  <si>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</si>
  <si>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</si>
  <si>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</si>
  <si>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</si>
  <si>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</si>
  <si>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</si>
  <si>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</si>
  <si>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</si>
  <si>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</si>
  <si>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</si>
  <si>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</si>
  <si>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</si>
  <si>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</si>
  <si>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</si>
  <si>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</si>
  <si>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</si>
  <si>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</si>
  <si>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</si>
  <si>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</si>
  <si>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</si>
  <si>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</si>
  <si>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</si>
  <si>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</si>
  <si>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</si>
  <si>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</si>
  <si>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</si>
  <si>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</si>
  <si>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</si>
  <si>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</si>
  <si>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</si>
  <si>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</si>
  <si>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</si>
  <si>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</si>
  <si>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</si>
  <si>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</si>
  <si>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</si>
  <si>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</si>
  <si>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</si>
  <si>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</si>
  <si>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</si>
  <si>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</si>
  <si>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</si>
  <si>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</si>
  <si>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</si>
  <si>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</si>
  <si>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</si>
  <si>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</si>
  <si>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</si>
  <si>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</si>
  <si>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</si>
  <si>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</si>
  <si>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</si>
  <si>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</si>
  <si>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</si>
  <si>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</si>
  <si>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</si>
  <si>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</si>
  <si>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</si>
  <si>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</si>
  <si>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</si>
  <si>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</si>
  <si>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</si>
  <si>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</si>
  <si>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</si>
  <si>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</si>
  <si>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</si>
  <si>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</si>
  <si>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</si>
  <si>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</si>
  <si>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</si>
  <si>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</si>
  <si>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</si>
  <si>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</si>
  <si>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</si>
  <si>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</si>
  <si>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</si>
  <si>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</si>
  <si>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</si>
  <si>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</si>
  <si>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</si>
  <si>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</si>
  <si>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</si>
  <si>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</si>
  <si>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</si>
  <si>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</si>
  <si>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</si>
  <si>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</si>
  <si>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</si>
  <si>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</si>
  <si>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</si>
  <si>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</si>
  <si>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</si>
  <si>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</si>
  <si>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</si>
  <si>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</si>
  <si>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</si>
  <si>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</si>
  <si>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</si>
  <si>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</si>
  <si>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</si>
  <si>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</si>
  <si>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</si>
  <si>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</si>
  <si>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</si>
  <si>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</si>
  <si>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</si>
  <si>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</si>
  <si>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div.clearfix &gt; div:nth-of-type(2) &gt; label.top &gt; div.radio &gt; span &gt; input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</si>
  <si>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</si>
  <si>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</si>
  <si>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</si>
  <si>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</si>
  <si>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</si>
  <si>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</si>
  <si>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</si>
  <si>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</si>
  <si>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</si>
  <si>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</si>
  <si>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</si>
  <si>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</si>
  <si>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</si>
  <si>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</si>
  <si>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</si>
  <si>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</si>
  <si>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</si>
  <si>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</si>
  <si>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</si>
  <si>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</si>
  <si>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</si>
  <si>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</si>
  <si>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</si>
  <si>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</si>
  <si>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</si>
  <si>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</si>
  <si>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</si>
  <si>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</si>
  <si>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</si>
  <si>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</si>
  <si>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</si>
  <si>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</si>
  <si>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</si>
  <si>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</si>
  <si>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</si>
  <si>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</si>
  <si>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</si>
  <si>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</si>
  <si>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</si>
  <si>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</si>
  <si>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</si>
  <si>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</si>
  <si>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</si>
  <si>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</si>
  <si>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</si>
  <si>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</si>
  <si>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</si>
  <si>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</si>
  <si>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</si>
  <si>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</si>
  <si>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</si>
  <si>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</si>
  <si>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</si>
  <si>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</si>
  <si>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</si>
  <si>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</si>
  <si>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</si>
  <si>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</si>
  <si>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</si>
  <si>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</si>
  <si>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</si>
  <si>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</si>
  <si>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</si>
  <si>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PhantomJS</t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</si>
  <si>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</si>
  <si>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</si>
  <si>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</si>
  <si>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</si>
  <si>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</si>
  <si>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</si>
  <si>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</si>
  <si>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</si>
  <si>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</si>
  <si>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</si>
  <si>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</si>
  <si>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</si>
  <si>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</si>
  <si>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</si>
  <si>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</si>
  <si>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</si>
  <si>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</si>
  <si>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</si>
  <si>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</si>
  <si>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</si>
  <si>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sample_commandReference</t>
  </si>
  <si>
    <t>template</t>
  </si>
  <si>
    <t>c:\temp\SpreadSheetnium\sample</t>
    <phoneticPr fontId="1"/>
  </si>
  <si>
    <t>Ready to run</t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</si>
  <si>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</si>
  <si>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</si>
  <si>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</si>
  <si>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</si>
  <si>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</si>
  <si>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</si>
  <si>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</si>
  <si>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</si>
  <si>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</si>
  <si>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</si>
  <si>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</si>
  <si>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</si>
  <si>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</si>
  <si>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</si>
  <si>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</si>
  <si>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</si>
  <si>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</si>
  <si>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</si>
  <si>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</si>
  <si>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</si>
  <si>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</si>
  <si>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</si>
  <si>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</si>
  <si>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</si>
  <si>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</si>
  <si>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</si>
  <si>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</si>
  <si>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</si>
  <si>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</si>
  <si>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</si>
  <si>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</si>
  <si>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</si>
  <si>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</si>
  <si>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t>
    <phoneticPr fontId="1"/>
  </si>
  <si>
    <t>Click element (do not need Action Value)</t>
    <phoneticPr fontId="1"/>
  </si>
  <si>
    <t>v0.0.8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</si>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</sst>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13" fillId="0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=""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=""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70" totalsRowShown="0" headerRowDxfId="127" dataDxfId="126" tableBorderDxfId="125">
  <autoFilter ref="A19:P70"/>
  <tableColumns count="16">
    <tableColumn id="1" name="runTarget" dataDxfId="124"/>
    <tableColumn id="2" name="Description" dataDxfId="123"/>
    <tableColumn id="17" name="scriptID" dataDxfId="122">
      <calculatedColumnFormula>"Script"&amp;ROW()-19</calculatedColumnFormula>
    </tableColumn>
    <tableColumn id="3" name="Command" dataDxfId="121"/>
    <tableColumn id="4" name="FindMethod" dataDxfId="120"/>
    <tableColumn id="5" name="ActionTarget" dataDxfId="119"/>
    <tableColumn id="6" name="ActionValue" dataDxfId="118"/>
    <tableColumn id="7" name="VerificationCommand" dataDxfId="117"/>
    <tableColumn id="8" name="Verificationmethod" dataDxfId="116"/>
    <tableColumn id="9" name="VerificationTarget" dataDxfId="115"/>
    <tableColumn id="10" name="ExpectedResult" dataDxfId="114"/>
    <tableColumn id="11" name="ActualResult" dataDxfId="113"/>
    <tableColumn id="12" name="Result" dataDxfId="112"/>
    <tableColumn id="13" name="LastUpdate" dataDxfId="111"/>
    <tableColumn id="14" name="ErrorMessage" dataDxfId="110"/>
    <tableColumn id="15" name="Memo" dataDxfId="109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5" totalsRowShown="0" headerRowDxfId="108" dataDxfId="107">
  <autoFilter ref="A8:B15"/>
  <tableColumns count="2">
    <tableColumn id="1" name="Key" dataDxfId="106"/>
    <tableColumn id="2" name="Value" dataDxfId="105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0" name="ResultsSummaryTable11" displayName="ResultsSummaryTable11" ref="D8:E14" totalsRowShown="0" headerRowDxfId="104" dataDxfId="103">
  <autoFilter ref="D8:E14"/>
  <tableColumns count="2">
    <tableColumn id="1" name="Status" dataDxfId="102"/>
    <tableColumn id="2" name="Count" dataDxfId="101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100" dataDxfId="99" tableBorderDxfId="98">
  <autoFilter ref="A19:P29"/>
  <tableColumns count="16">
    <tableColumn id="1" name="runTarget" dataDxfId="97"/>
    <tableColumn id="2" name="Description" dataDxfId="96"/>
    <tableColumn id="17" name="scriptID" dataDxfId="95"/>
    <tableColumn id="3" name="Command" dataDxfId="94"/>
    <tableColumn id="4" name="FindMethod" dataDxfId="93"/>
    <tableColumn id="5" name="ActionTarget" dataDxfId="92"/>
    <tableColumn id="6" name="ActionValue" dataDxfId="91"/>
    <tableColumn id="7" name="VerificationCommand" dataDxfId="90"/>
    <tableColumn id="8" name="Verificationmethod" dataDxfId="89"/>
    <tableColumn id="9" name="VerificationTarget" dataDxfId="88"/>
    <tableColumn id="10" name="ExpectedResult" dataDxfId="87"/>
    <tableColumn id="11" name="ActualResult" dataDxfId="86"/>
    <tableColumn id="12" name="Result" dataDxfId="85"/>
    <tableColumn id="13" name="LastUpdate" dataDxfId="84"/>
    <tableColumn id="14" name="ErrorMessage" dataDxfId="83"/>
    <tableColumn id="15" name="Memo" dataDxfId="82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5" totalsRowShown="0" headerRowDxfId="81" dataDxfId="80">
  <autoFilter ref="A8:B15"/>
  <tableColumns count="2">
    <tableColumn id="1" name="Key" dataDxfId="79"/>
    <tableColumn id="2" name="Value" dataDxfId="78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77" dataDxfId="76">
  <autoFilter ref="D8:E14"/>
  <tableColumns count="2">
    <tableColumn id="1" name="Status" dataDxfId="75"/>
    <tableColumn id="2" name="Count" dataDxfId="74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6" name="SettingsTable17" displayName="SettingsTable17" ref="A8:B10" totalsRowShown="0" headerRowDxfId="73" dataDxfId="72">
  <autoFilter ref="A8:B10"/>
  <tableColumns count="2">
    <tableColumn id="1" name="Key" dataDxfId="71"/>
    <tableColumn id="2" name="Value" dataDxfId="70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17" name="ResultsSummaryTable18" displayName="ResultsSummaryTable18" ref="D8:E14" totalsRowShown="0" headerRowDxfId="69" dataDxfId="68">
  <autoFilter ref="D8:E14"/>
  <tableColumns count="2">
    <tableColumn id="1" name="Status" dataDxfId="67"/>
    <tableColumn id="2" name="Count" dataDxfId="66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8" name="batchRunTBL" displayName="batchRunTBL" ref="A19:I21" totalsRowShown="0" headerRowDxfId="65" dataDxfId="64">
  <autoFilter ref="A19:I21"/>
  <tableColumns count="9">
    <tableColumn id="1" name="run target" dataDxfId="63"/>
    <tableColumn id="2" name="SheetName" dataDxfId="62"/>
    <tableColumn id="3" name="Not Tested" dataDxfId="61"/>
    <tableColumn id="4" name="Passed" dataDxfId="60"/>
    <tableColumn id="5" name="Failed" dataDxfId="59"/>
    <tableColumn id="6" name="Skipped" dataDxfId="58"/>
    <tableColumn id="7" name="Total" dataDxfId="57"/>
    <tableColumn id="8" name="Status" dataDxfId="56"/>
    <tableColumn id="9" name="Lastupdate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tabSelected="1"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4" customFormat="1" ht="31.5">
      <c r="A1" s="33" t="s">
        <v>213</v>
      </c>
      <c r="N1" s="35"/>
    </row>
    <row r="2" spans="1:16" s="34" customFormat="1">
      <c r="A2" s="36" t="s">
        <v>114</v>
      </c>
      <c r="N2" s="37"/>
    </row>
    <row r="3" spans="1:16" s="34" customFormat="1">
      <c r="A3" s="36" t="s">
        <v>113</v>
      </c>
      <c r="N3" s="37"/>
    </row>
    <row r="4" spans="1:16" s="34" customFormat="1">
      <c r="A4" s="36" t="s">
        <v>115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>
      <c r="A9" s="5" t="s">
        <v>0</v>
      </c>
      <c r="B9" s="1" t="s">
        <v>210</v>
      </c>
      <c r="D9" s="5" t="s">
        <v>73</v>
      </c>
      <c r="E9" s="19">
        <f>E13-SUM(E10:E12)</f>
        <v>51</v>
      </c>
      <c r="L9" s="61"/>
      <c r="M9" s="61"/>
      <c r="N9" s="61"/>
      <c r="O9" s="61"/>
      <c r="P9" s="61"/>
    </row>
    <row r="10" spans="1:16">
      <c r="A10" s="5" t="s">
        <v>11</v>
      </c>
      <c r="B10" s="59" t="s">
        <v>47</v>
      </c>
      <c r="D10" s="5" t="s">
        <v>4</v>
      </c>
      <c r="E10" s="21">
        <f>COUNTIF(TestScriptTable9[Result],"Passed")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B13" s="1" t="s">
        <v>233</v>
      </c>
      <c r="D13" s="5" t="s">
        <v>6</v>
      </c>
      <c r="E13" s="6">
        <f>COUNTA(TestScriptTable9[runTarget])+COUNTBLANK(TestScriptTable9[runTarget])</f>
        <v>51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  <c r="L15" s="53"/>
      <c r="M15" s="53"/>
      <c r="N15" s="53"/>
      <c r="O15" s="53"/>
      <c r="P15" s="53"/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261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>
      <c r="A25" s="23" t="s">
        <v>76</v>
      </c>
      <c r="B25" s="1" t="s">
        <v>269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5" ht="21.75" customHeight="1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5" ht="21.75" customHeight="1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5" ht="21.75" customHeight="1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5" ht="21.75" customHeight="1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264</v>
      </c>
      <c r="G36" s="4"/>
      <c r="H36" s="4" t="s">
        <v>41</v>
      </c>
      <c r="I36" s="4"/>
      <c r="J36" s="4"/>
      <c r="K36" s="4" t="s">
        <v>266</v>
      </c>
      <c r="L36" s="4"/>
      <c r="M36"/>
      <c r="N36" s="3"/>
      <c r="O36" s="4"/>
    </row>
    <row r="37" spans="1:15" ht="21.75" customHeight="1">
      <c r="A37" s="23" t="s">
        <v>76</v>
      </c>
      <c r="B37" s="1" t="s">
        <v>263</v>
      </c>
      <c r="C37" s="1" t="str">
        <f t="shared" si="0"/>
        <v>Script18</v>
      </c>
      <c r="D37" s="4" t="s">
        <v>70</v>
      </c>
      <c r="E37" s="4" t="s">
        <v>49</v>
      </c>
      <c r="F37" s="4" t="s">
        <v>265</v>
      </c>
      <c r="G37" s="60" t="s">
        <v>267</v>
      </c>
      <c r="H37" s="4" t="s">
        <v>41</v>
      </c>
      <c r="I37" s="4"/>
      <c r="J37" s="4"/>
      <c r="K37" s="4" t="s">
        <v>266</v>
      </c>
      <c r="L37" s="4"/>
      <c r="M37"/>
      <c r="N37" s="3"/>
      <c r="O37" s="4"/>
    </row>
    <row r="38" spans="1:15" ht="21.75" customHeight="1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5" ht="21.75" customHeight="1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5" ht="21.75" customHeight="1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5" ht="21.75" customHeight="1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146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</row>
    <row r="42" spans="1:15" ht="21.75" customHeight="1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147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5" ht="21.75" customHeight="1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148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5" ht="21.75" customHeight="1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149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5" ht="21.75" customHeight="1">
      <c r="A45" s="23" t="s">
        <v>76</v>
      </c>
      <c r="B45" s="1" t="s">
        <v>150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151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5" ht="21.75" customHeight="1">
      <c r="A46" s="23" t="s">
        <v>76</v>
      </c>
      <c r="B46" s="1" t="s">
        <v>150</v>
      </c>
      <c r="C46" s="1" t="str">
        <f t="shared" si="0"/>
        <v>Script27</v>
      </c>
      <c r="D46" s="4" t="s">
        <v>35</v>
      </c>
      <c r="E46" s="4" t="s">
        <v>31</v>
      </c>
      <c r="F46" s="4" t="s">
        <v>152</v>
      </c>
      <c r="G46" s="4" t="s">
        <v>153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5" ht="21.75" customHeight="1">
      <c r="A47" s="23" t="s">
        <v>76</v>
      </c>
      <c r="B47" s="1" t="s">
        <v>150</v>
      </c>
      <c r="C47" s="1" t="str">
        <f t="shared" si="0"/>
        <v>Script28</v>
      </c>
      <c r="D47" s="4" t="s">
        <v>35</v>
      </c>
      <c r="E47" s="4" t="s">
        <v>82</v>
      </c>
      <c r="F47" s="4" t="s">
        <v>154</v>
      </c>
      <c r="G47" s="4" t="s">
        <v>155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5" ht="21.75" customHeight="1">
      <c r="A48" s="23" t="s">
        <v>76</v>
      </c>
      <c r="B48" s="1" t="s">
        <v>150</v>
      </c>
      <c r="C48" s="1" t="str">
        <f t="shared" si="0"/>
        <v>Script29</v>
      </c>
      <c r="D48" s="4" t="s">
        <v>35</v>
      </c>
      <c r="E48" s="4" t="s">
        <v>72</v>
      </c>
      <c r="F48" s="4" t="s">
        <v>156</v>
      </c>
      <c r="G48" s="4" t="s">
        <v>157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>
      <c r="A49" s="23" t="s">
        <v>76</v>
      </c>
      <c r="B49" s="1" t="s">
        <v>246</v>
      </c>
      <c r="C49" s="1" t="str">
        <f t="shared" si="0"/>
        <v>Script30</v>
      </c>
      <c r="D49" s="4" t="s">
        <v>235</v>
      </c>
      <c r="E49" s="4" t="s">
        <v>242</v>
      </c>
      <c r="F49" s="4" t="s">
        <v>236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>
      <c r="A50" s="23" t="s">
        <v>76</v>
      </c>
      <c r="B50" s="1" t="s">
        <v>243</v>
      </c>
      <c r="C50" s="1" t="str">
        <f t="shared" si="0"/>
        <v>Script31</v>
      </c>
      <c r="D50" s="4" t="s">
        <v>237</v>
      </c>
      <c r="E50" s="4"/>
      <c r="F50" s="4" t="s">
        <v>239</v>
      </c>
      <c r="G50" s="4"/>
      <c r="H50" s="4" t="s">
        <v>42</v>
      </c>
      <c r="I50" s="4"/>
      <c r="J50" s="4"/>
      <c r="K50" s="4" t="s">
        <v>241</v>
      </c>
      <c r="L50" s="4"/>
      <c r="M50"/>
      <c r="N50" s="3"/>
      <c r="O50" s="4"/>
    </row>
    <row r="51" spans="1:15" ht="21.75" customHeight="1">
      <c r="A51" s="23" t="s">
        <v>76</v>
      </c>
      <c r="B51" s="1" t="s">
        <v>244</v>
      </c>
      <c r="C51" s="1" t="str">
        <f t="shared" si="0"/>
        <v>Script32</v>
      </c>
      <c r="D51" s="4" t="s">
        <v>235</v>
      </c>
      <c r="E51" s="4" t="s">
        <v>242</v>
      </c>
      <c r="F51" s="4" t="s">
        <v>240</v>
      </c>
      <c r="G51" s="4"/>
      <c r="H51" s="4" t="s">
        <v>42</v>
      </c>
      <c r="I51" s="4"/>
      <c r="J51" s="4"/>
      <c r="K51" s="4" t="s">
        <v>241</v>
      </c>
      <c r="L51" s="4"/>
      <c r="M51"/>
      <c r="N51" s="3"/>
      <c r="O51" s="4"/>
    </row>
    <row r="52" spans="1:15" ht="21.75" customHeight="1">
      <c r="A52" s="23" t="s">
        <v>76</v>
      </c>
      <c r="B52" s="1" t="s">
        <v>245</v>
      </c>
      <c r="C52" s="1" t="str">
        <f t="shared" si="0"/>
        <v>Script33</v>
      </c>
      <c r="D52" s="4" t="s">
        <v>237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>
      <c r="A54" s="23" t="s">
        <v>76</v>
      </c>
      <c r="B54" s="1" t="s">
        <v>158</v>
      </c>
      <c r="C54" s="1" t="str">
        <f t="shared" si="0"/>
        <v>Script35</v>
      </c>
      <c r="D54" s="4" t="s">
        <v>84</v>
      </c>
      <c r="E54" s="4"/>
      <c r="F54" s="4" t="s">
        <v>159</v>
      </c>
      <c r="G54" s="4" t="s">
        <v>160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>
      <c r="A55" s="23" t="s">
        <v>76</v>
      </c>
      <c r="B55" s="1" t="s">
        <v>158</v>
      </c>
      <c r="C55" s="1" t="str">
        <f t="shared" si="0"/>
        <v>Script36</v>
      </c>
      <c r="D55" s="4" t="s">
        <v>84</v>
      </c>
      <c r="E55" s="4"/>
      <c r="F55" s="4" t="s">
        <v>159</v>
      </c>
      <c r="G55" s="4" t="s">
        <v>161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>
      <c r="A56" s="23" t="s">
        <v>76</v>
      </c>
      <c r="B56" s="1" t="s">
        <v>158</v>
      </c>
      <c r="C56" s="1" t="str">
        <f t="shared" si="0"/>
        <v>Script37</v>
      </c>
      <c r="D56" s="4" t="s">
        <v>84</v>
      </c>
      <c r="E56" s="4"/>
      <c r="F56" s="4" t="s">
        <v>159</v>
      </c>
      <c r="G56" s="4" t="s">
        <v>162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>
      <c r="A57" s="23" t="s">
        <v>76</v>
      </c>
      <c r="B57" s="1" t="s">
        <v>158</v>
      </c>
      <c r="C57" s="1" t="str">
        <f t="shared" si="0"/>
        <v>Script38</v>
      </c>
      <c r="D57" s="4" t="s">
        <v>84</v>
      </c>
      <c r="E57" s="4"/>
      <c r="F57" s="4" t="s">
        <v>159</v>
      </c>
      <c r="G57" s="4" t="s">
        <v>163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164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>
      <c r="A59" s="23" t="s">
        <v>76</v>
      </c>
      <c r="B59" s="1" t="s">
        <v>165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166</v>
      </c>
      <c r="K59" s="4" t="s">
        <v>167</v>
      </c>
      <c r="L59" s="4"/>
      <c r="M59"/>
      <c r="N59" s="3"/>
      <c r="O59" s="4"/>
    </row>
    <row r="60" spans="1:15" ht="21.75" customHeight="1">
      <c r="A60" s="23" t="s">
        <v>76</v>
      </c>
      <c r="B60" s="1" t="s">
        <v>165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168</v>
      </c>
      <c r="L60" s="4"/>
      <c r="M60"/>
      <c r="N60" s="3"/>
      <c r="O60" s="4"/>
    </row>
    <row r="61" spans="1:15" ht="21.75" customHeight="1">
      <c r="A61" s="23" t="s">
        <v>76</v>
      </c>
      <c r="B61" s="1" t="s">
        <v>165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169</v>
      </c>
      <c r="K61" s="4" t="s">
        <v>170</v>
      </c>
      <c r="L61" s="4"/>
      <c r="M61"/>
      <c r="N61" s="3"/>
      <c r="O61" s="4"/>
    </row>
    <row r="62" spans="1:15" ht="21.75" customHeight="1">
      <c r="A62" s="23" t="s">
        <v>76</v>
      </c>
      <c r="B62" s="1" t="s">
        <v>165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171</v>
      </c>
      <c r="K62" s="4" t="s">
        <v>172</v>
      </c>
      <c r="L62" s="4"/>
      <c r="M62"/>
      <c r="N62" s="3"/>
      <c r="O62" s="4"/>
    </row>
    <row r="63" spans="1:15" ht="21.75" customHeight="1">
      <c r="A63" s="23" t="s">
        <v>76</v>
      </c>
      <c r="B63" s="1" t="s">
        <v>173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166</v>
      </c>
      <c r="K63" s="4" t="s">
        <v>174</v>
      </c>
      <c r="L63" s="4"/>
      <c r="M63"/>
      <c r="N63" s="3"/>
      <c r="O63" s="4"/>
    </row>
    <row r="64" spans="1:15" ht="21.75" customHeight="1">
      <c r="A64" s="23" t="s">
        <v>76</v>
      </c>
      <c r="B64" s="1" t="s">
        <v>173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>
      <c r="A65" s="23" t="s">
        <v>76</v>
      </c>
      <c r="B65" s="1" t="s">
        <v>173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169</v>
      </c>
      <c r="K65" s="4" t="s">
        <v>96</v>
      </c>
      <c r="L65" s="4"/>
      <c r="M65"/>
      <c r="N65" s="3"/>
      <c r="O65" s="4"/>
    </row>
    <row r="66" spans="1:15" ht="21.75" customHeight="1">
      <c r="A66" s="23" t="s">
        <v>76</v>
      </c>
      <c r="B66" s="1" t="s">
        <v>173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171</v>
      </c>
      <c r="K66" s="4" t="s">
        <v>175</v>
      </c>
      <c r="L66" s="4"/>
      <c r="M66"/>
      <c r="N66" s="3"/>
      <c r="O66" s="4"/>
    </row>
    <row r="67" spans="1:15" ht="21.75" customHeight="1">
      <c r="A67" s="23" t="s">
        <v>76</v>
      </c>
      <c r="B67" s="1" t="s">
        <v>176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166</v>
      </c>
      <c r="K67" s="4" t="s">
        <v>177</v>
      </c>
      <c r="L67" s="4"/>
      <c r="M67"/>
      <c r="N67" s="3"/>
      <c r="O67" s="4"/>
    </row>
    <row r="68" spans="1:15" ht="21.75" customHeight="1">
      <c r="A68" s="23" t="s">
        <v>76</v>
      </c>
      <c r="B68" s="1" t="s">
        <v>176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178</v>
      </c>
      <c r="L68" s="4"/>
      <c r="M68"/>
      <c r="N68" s="3"/>
      <c r="O68" s="4"/>
    </row>
    <row r="69" spans="1:15" ht="21.75" customHeight="1">
      <c r="A69" s="23" t="s">
        <v>76</v>
      </c>
      <c r="B69" s="1" t="s">
        <v>176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169</v>
      </c>
      <c r="K69" s="4" t="s">
        <v>179</v>
      </c>
      <c r="L69" s="4"/>
      <c r="M69"/>
      <c r="N69" s="3"/>
      <c r="O69" s="4"/>
    </row>
    <row r="70" spans="1:15" ht="21.75" customHeight="1">
      <c r="A70" s="23" t="s">
        <v>76</v>
      </c>
      <c r="B70" s="1" t="s">
        <v>176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171</v>
      </c>
      <c r="K70" s="4" t="s">
        <v>180</v>
      </c>
      <c r="L70" s="4"/>
      <c r="M70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>
      <c r="A1" s="33" t="s">
        <v>108</v>
      </c>
      <c r="N1" s="35"/>
    </row>
    <row r="2" spans="1:16" s="34" customFormat="1">
      <c r="A2" s="36" t="s">
        <v>67</v>
      </c>
      <c r="N2" s="37"/>
    </row>
    <row r="3" spans="1:16" s="34" customFormat="1">
      <c r="A3" s="36" t="s">
        <v>67</v>
      </c>
      <c r="N3" s="37"/>
    </row>
    <row r="4" spans="1:16" s="34" customFormat="1">
      <c r="A4" s="36" t="s">
        <v>107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210</v>
      </c>
      <c r="D9" s="5" t="s">
        <v>73</v>
      </c>
      <c r="E9" s="19">
        <f>E13-SUM(E10:E12)</f>
        <v>10</v>
      </c>
      <c r="L9" s="61"/>
      <c r="M9" s="61"/>
      <c r="N9" s="61"/>
      <c r="O9" s="61"/>
      <c r="P9" s="61"/>
    </row>
    <row r="10" spans="1:16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LISTBOX_DATA!$B$1:$B$13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>
      <c r="A1" s="38" t="s">
        <v>195</v>
      </c>
      <c r="N1" s="40"/>
    </row>
    <row r="2" spans="1:16" s="39" customFormat="1">
      <c r="A2" s="41" t="s">
        <v>111</v>
      </c>
      <c r="N2" s="42"/>
    </row>
    <row r="3" spans="1:16" s="39" customFormat="1">
      <c r="A3" s="41" t="s">
        <v>110</v>
      </c>
      <c r="N3" s="42"/>
    </row>
    <row r="4" spans="1:16" s="39" customFormat="1">
      <c r="A4" s="41" t="s">
        <v>112</v>
      </c>
      <c r="N4" s="42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212</v>
      </c>
      <c r="B9" s="1" t="s">
        <v>79</v>
      </c>
      <c r="D9" s="5" t="s">
        <v>73</v>
      </c>
      <c r="E9" s="19">
        <f>SUM(batchRunTBL[Not Tested])</f>
        <v>60</v>
      </c>
      <c r="L9" s="61"/>
      <c r="M9" s="61"/>
      <c r="N9" s="61"/>
      <c r="O9" s="61"/>
      <c r="P9" s="61"/>
    </row>
    <row r="10" spans="1:16">
      <c r="A10" s="5" t="s">
        <v>194</v>
      </c>
      <c r="B10" s="1" t="s">
        <v>79</v>
      </c>
      <c r="D10" s="5" t="s">
        <v>4</v>
      </c>
      <c r="E10" s="21">
        <f>SUM(batchRunTBL[Passed])</f>
        <v>0</v>
      </c>
      <c r="L10" s="61"/>
      <c r="M10" s="61"/>
      <c r="N10" s="61"/>
      <c r="O10" s="61"/>
      <c r="P10" s="61"/>
    </row>
    <row r="11" spans="1:16">
      <c r="A11" s="5"/>
      <c r="D11" s="5" t="s">
        <v>5</v>
      </c>
      <c r="E11" s="20">
        <f>SUM(batchRunTBL[Failed])</f>
        <v>0</v>
      </c>
      <c r="L11" s="61"/>
      <c r="M11" s="61"/>
      <c r="N11" s="61"/>
      <c r="O11" s="61"/>
      <c r="P11" s="61"/>
    </row>
    <row r="12" spans="1:16">
      <c r="A12" s="5"/>
      <c r="D12" s="5" t="s">
        <v>8</v>
      </c>
      <c r="E12" s="18">
        <f>SUM(batchRunTBL[Skipped])</f>
        <v>0</v>
      </c>
      <c r="L12" s="61"/>
      <c r="M12" s="61"/>
      <c r="N12" s="61"/>
      <c r="O12" s="61"/>
      <c r="P12" s="61"/>
    </row>
    <row r="13" spans="1:16">
      <c r="A13" s="5"/>
      <c r="D13" s="5" t="s">
        <v>6</v>
      </c>
      <c r="E13" s="6">
        <f>SUM(batchRunTBL[Total])</f>
        <v>60</v>
      </c>
      <c r="L13" s="61"/>
      <c r="M13" s="61"/>
      <c r="N13" s="61"/>
      <c r="O13" s="61"/>
      <c r="P13" s="61"/>
    </row>
    <row r="14" spans="1:16">
      <c r="A14" s="5"/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/>
    </row>
    <row r="16" spans="1:16">
      <c r="A16" s="5"/>
      <c r="B16" s="6"/>
    </row>
    <row r="17" spans="1:15" ht="21.75" customHeight="1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>
      <c r="A18" s="10" t="s">
        <v>99</v>
      </c>
    </row>
    <row r="19" spans="1:15" s="29" customFormat="1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>
      <c r="A20" s="54" t="s">
        <v>76</v>
      </c>
      <c r="B20" s="29" t="s">
        <v>231</v>
      </c>
      <c r="C20" s="29">
        <v>50</v>
      </c>
      <c r="D20" s="29">
        <v>0</v>
      </c>
      <c r="E20" s="29">
        <v>0</v>
      </c>
      <c r="F20" s="29">
        <v>0</v>
      </c>
      <c r="G20" s="29">
        <v>50</v>
      </c>
      <c r="H20" s="29" t="s">
        <v>234</v>
      </c>
      <c r="I20" s="45"/>
    </row>
    <row r="21" spans="1:15" s="29" customFormat="1">
      <c r="A21" s="12" t="s">
        <v>76</v>
      </c>
      <c r="B21" s="1" t="s">
        <v>232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234</v>
      </c>
      <c r="I21" s="4"/>
    </row>
    <row r="22" spans="1:15" s="29" customFormat="1">
      <c r="A22" s="12"/>
      <c r="B22" s="1"/>
      <c r="C22" s="13"/>
      <c r="D22" s="4"/>
      <c r="E22" s="4"/>
      <c r="F22" s="4"/>
      <c r="G22" s="4"/>
      <c r="H22" s="4"/>
      <c r="I22" s="4"/>
    </row>
    <row r="23" spans="1:15" s="29" customFormat="1">
      <c r="A23" s="12"/>
      <c r="B23" s="1"/>
      <c r="C23" s="13"/>
      <c r="D23" s="4"/>
      <c r="E23" s="4"/>
      <c r="F23" s="4"/>
      <c r="G23" s="4"/>
      <c r="H23" s="4"/>
      <c r="I23" s="4"/>
    </row>
    <row r="24" spans="1:15" s="29" customFormat="1">
      <c r="A24" s="12"/>
      <c r="B24" s="1"/>
      <c r="C24" s="13"/>
      <c r="D24" s="4"/>
      <c r="E24" s="4"/>
      <c r="F24" s="4"/>
      <c r="G24" s="4"/>
      <c r="H24" s="4"/>
      <c r="I24" s="4"/>
    </row>
    <row r="25" spans="1:15" s="29" customFormat="1">
      <c r="A25" s="12"/>
      <c r="B25" s="1"/>
      <c r="C25" s="13"/>
      <c r="D25" s="4"/>
      <c r="E25" s="4"/>
      <c r="F25" s="4"/>
      <c r="G25" s="4"/>
      <c r="H25" s="4"/>
      <c r="I25" s="4"/>
    </row>
    <row r="26" spans="1:15" s="29" customFormat="1">
      <c r="A26" s="12"/>
      <c r="B26" s="1"/>
      <c r="C26" s="13"/>
      <c r="D26" s="4"/>
      <c r="E26" s="4"/>
      <c r="F26" s="4"/>
      <c r="G26" s="4"/>
      <c r="H26" s="4"/>
      <c r="I26" s="4"/>
    </row>
    <row r="27" spans="1:15" s="29" customFormat="1">
      <c r="A27" s="12"/>
      <c r="B27" s="1"/>
      <c r="C27" s="13"/>
      <c r="D27" s="4"/>
      <c r="E27" s="4"/>
      <c r="F27" s="4"/>
      <c r="G27" s="4"/>
      <c r="H27" s="4"/>
      <c r="I27" s="4"/>
    </row>
    <row r="28" spans="1:15" s="29" customFormat="1">
      <c r="A28" s="12"/>
      <c r="B28" s="1"/>
      <c r="C28" s="13"/>
      <c r="D28" s="4"/>
      <c r="E28" s="4"/>
      <c r="F28" s="4"/>
      <c r="G28" s="4"/>
      <c r="H28" s="4"/>
      <c r="I28" s="4"/>
    </row>
    <row r="29" spans="1:15" s="29" customFormat="1">
      <c r="A29" s="12"/>
      <c r="B29" s="1"/>
      <c r="C29" s="13"/>
      <c r="D29" s="4"/>
      <c r="E29" s="4"/>
      <c r="F29" s="4"/>
      <c r="G29" s="4"/>
      <c r="H29" s="4"/>
      <c r="I29" s="4"/>
    </row>
    <row r="30" spans="1:15" s="29" customFormat="1">
      <c r="A30" s="12"/>
      <c r="B30" s="1"/>
      <c r="C30" s="13"/>
      <c r="D30" s="4"/>
      <c r="E30" s="4"/>
      <c r="F30" s="4"/>
      <c r="G30" s="4"/>
      <c r="H30" s="4"/>
      <c r="I30" s="4"/>
    </row>
    <row r="31" spans="1:15" s="29" customFormat="1">
      <c r="A31" s="12"/>
      <c r="B31" s="1"/>
      <c r="C31" s="13"/>
      <c r="D31" s="4"/>
      <c r="E31" s="4"/>
      <c r="F31" s="4"/>
      <c r="G31" s="4"/>
      <c r="H31" s="4"/>
      <c r="I31" s="4"/>
    </row>
    <row r="32" spans="1:15" s="29" customFormat="1">
      <c r="A32" s="12"/>
      <c r="B32" s="1"/>
      <c r="C32" s="13"/>
      <c r="D32" s="4"/>
      <c r="E32" s="4"/>
      <c r="F32" s="4"/>
      <c r="G32" s="4"/>
      <c r="H32" s="4"/>
      <c r="I32" s="4"/>
    </row>
    <row r="33" spans="1:15" s="29" customFormat="1">
      <c r="A33" s="12"/>
      <c r="B33" s="1"/>
      <c r="C33" s="13"/>
      <c r="D33" s="4"/>
      <c r="E33" s="4"/>
      <c r="F33" s="4"/>
      <c r="G33" s="4"/>
      <c r="H33" s="4"/>
      <c r="I33" s="4"/>
    </row>
    <row r="34" spans="1:15" s="29" customFormat="1">
      <c r="A34" s="12"/>
      <c r="B34" s="1"/>
      <c r="C34" s="13"/>
      <c r="D34" s="4"/>
      <c r="E34" s="4"/>
      <c r="F34" s="4"/>
      <c r="G34" s="4"/>
      <c r="H34" s="4"/>
      <c r="I34" s="4"/>
    </row>
    <row r="35" spans="1:15" s="29" customFormat="1">
      <c r="A35" s="12"/>
      <c r="B35" s="1"/>
      <c r="C35" s="13"/>
      <c r="D35" s="4"/>
      <c r="E35" s="4"/>
      <c r="F35" s="4"/>
      <c r="G35" s="4"/>
      <c r="H35" s="4"/>
      <c r="I35" s="4"/>
    </row>
    <row r="36" spans="1:15" s="29" customFormat="1">
      <c r="A36" s="12"/>
      <c r="B36" s="1"/>
      <c r="C36" s="13"/>
      <c r="D36" s="4"/>
      <c r="E36" s="4"/>
      <c r="F36" s="4"/>
      <c r="G36" s="4"/>
      <c r="H36" s="4"/>
      <c r="I36" s="4"/>
    </row>
    <row r="37" spans="1:15" s="29" customFormat="1">
      <c r="A37" s="12"/>
      <c r="B37" s="1"/>
      <c r="C37" s="13"/>
      <c r="D37" s="4"/>
      <c r="E37" s="4"/>
      <c r="F37" s="4"/>
      <c r="G37" s="4"/>
      <c r="H37" s="4"/>
      <c r="I37" s="4"/>
    </row>
    <row r="38" spans="1:15" s="29" customFormat="1">
      <c r="A38" s="12"/>
      <c r="B38" s="1"/>
      <c r="C38" s="13"/>
      <c r="D38" s="4"/>
      <c r="E38" s="4"/>
      <c r="F38" s="4"/>
      <c r="G38" s="4"/>
      <c r="H38" s="4"/>
      <c r="I38" s="4"/>
    </row>
    <row r="39" spans="1:15" s="29" customFormat="1">
      <c r="A39" s="12"/>
      <c r="B39" s="1"/>
      <c r="C39" s="13"/>
      <c r="D39" s="4"/>
      <c r="E39" s="4"/>
      <c r="F39" s="4"/>
      <c r="G39" s="4"/>
      <c r="H39" s="4"/>
      <c r="I39" s="4"/>
    </row>
    <row r="40" spans="1:15" s="29" customFormat="1">
      <c r="A40" s="12"/>
      <c r="B40" s="1"/>
      <c r="C40" s="13"/>
      <c r="D40" s="4"/>
      <c r="E40" s="4"/>
      <c r="F40" s="4"/>
      <c r="G40" s="4"/>
      <c r="H40" s="4"/>
      <c r="I40" s="4"/>
    </row>
    <row r="41" spans="1:15" s="29" customFormat="1">
      <c r="A41" s="12"/>
      <c r="B41" s="1"/>
      <c r="C41" s="13"/>
      <c r="D41" s="4"/>
      <c r="E41" s="4"/>
      <c r="F41" s="4"/>
      <c r="G41" s="4"/>
      <c r="H41" s="4"/>
      <c r="I41" s="4"/>
    </row>
    <row r="42" spans="1:15" s="29" customFormat="1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12"/>
      <c r="C45" s="13"/>
      <c r="D45" s="4"/>
      <c r="E45" s="4"/>
      <c r="F45" s="4"/>
      <c r="G45" s="4"/>
      <c r="H45" s="4"/>
      <c r="I45" s="4"/>
      <c r="J45" s="4"/>
      <c r="K45" s="26"/>
      <c r="L45" s="4"/>
      <c r="M45" s="28"/>
      <c r="N45" s="3"/>
      <c r="O45" s="4"/>
    </row>
    <row r="46" spans="1:15" ht="21.75" customHeight="1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2"/>
      <c r="N49" s="3"/>
      <c r="O49" s="4"/>
    </row>
    <row r="50" spans="1:15" ht="21.75" customHeight="1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2"/>
      <c r="N50" s="3"/>
      <c r="O50" s="4"/>
    </row>
    <row r="51" spans="1:15" ht="21.75" customHeight="1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>
      <c r="A61" s="12"/>
      <c r="C61" s="13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>
      <c r="A62" s="12"/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>
      <c r="A63" s="12"/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>
      <c r="A64" s="12"/>
      <c r="C64" s="13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17"/>
      <c r="L65" s="17"/>
      <c r="M65" s="4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17"/>
      <c r="L66" s="17"/>
      <c r="M66" s="4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2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2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12"/>
      <c r="D78" s="4"/>
      <c r="E78" s="4"/>
      <c r="F78" s="4"/>
      <c r="G78" s="4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12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12"/>
      <c r="D80" s="4"/>
      <c r="E80" s="4"/>
      <c r="F80" s="4"/>
      <c r="G80" s="4"/>
      <c r="H80" s="4"/>
      <c r="I80" s="4"/>
      <c r="J80" s="4"/>
      <c r="K80" s="8"/>
      <c r="L80" s="8"/>
      <c r="M80" s="28"/>
      <c r="N80" s="3"/>
      <c r="O80" s="4"/>
    </row>
    <row r="81" spans="1:15" ht="21.75" customHeight="1">
      <c r="A81" s="12"/>
      <c r="D81" s="4"/>
      <c r="E81" s="4"/>
      <c r="F81" s="4"/>
      <c r="G81" s="4"/>
      <c r="H81" s="4"/>
      <c r="I81" s="4"/>
      <c r="J81" s="4"/>
      <c r="K81" s="17"/>
      <c r="L81" s="17"/>
      <c r="M81" s="28"/>
      <c r="N81" s="3"/>
      <c r="O81" s="4"/>
    </row>
    <row r="82" spans="1:15" ht="21.75" customHeight="1">
      <c r="A82" s="12"/>
      <c r="D82" s="4"/>
      <c r="E82" s="4"/>
      <c r="F82" s="4"/>
      <c r="G82" s="4"/>
      <c r="H82" s="4"/>
      <c r="I82" s="4"/>
      <c r="J82" s="4"/>
      <c r="K82" s="17"/>
      <c r="L82" s="17"/>
      <c r="M82" s="28"/>
      <c r="N82" s="3"/>
      <c r="O82" s="4"/>
    </row>
    <row r="83" spans="1:15" ht="21.75" customHeight="1">
      <c r="J83" s="4"/>
      <c r="K83" s="8"/>
      <c r="L83" s="8"/>
      <c r="M83" s="28"/>
      <c r="N83" s="3"/>
      <c r="O83" s="4"/>
    </row>
    <row r="84" spans="1:15" ht="21.75" customHeight="1">
      <c r="J84" s="4"/>
      <c r="K84" s="4"/>
      <c r="L84" s="4"/>
      <c r="M84" s="28"/>
      <c r="N84" s="3"/>
      <c r="O84" s="4"/>
    </row>
    <row r="85" spans="1:15" ht="21.75" customHeight="1">
      <c r="J85" s="4"/>
      <c r="K85" s="4"/>
      <c r="L85" s="4"/>
      <c r="M85" s="28"/>
      <c r="N85" s="3"/>
      <c r="O85" s="4"/>
    </row>
    <row r="86" spans="1:15" ht="21.75" customHeight="1">
      <c r="J86" s="4"/>
      <c r="K86" s="4"/>
      <c r="L86" s="4"/>
      <c r="M86" s="28"/>
      <c r="N86" s="3"/>
      <c r="O86" s="4"/>
    </row>
    <row r="87" spans="1:15" ht="21.75" customHeight="1">
      <c r="J87" s="4"/>
      <c r="K87" s="4"/>
      <c r="L87" s="4"/>
      <c r="M87" s="28"/>
      <c r="N87" s="3"/>
      <c r="O87" s="4"/>
    </row>
    <row r="88" spans="1:15" ht="21.75" customHeight="1">
      <c r="J88" s="4"/>
      <c r="K88" s="4"/>
      <c r="L88" s="4"/>
      <c r="M88" s="28"/>
      <c r="N88" s="3"/>
      <c r="O88" s="4"/>
    </row>
    <row r="89" spans="1:15" ht="21.75" customHeight="1">
      <c r="J89" s="4"/>
      <c r="K89" s="4"/>
      <c r="L89" s="4"/>
      <c r="M89" s="28"/>
      <c r="N89" s="3"/>
      <c r="O89" s="4"/>
    </row>
    <row r="90" spans="1:15" ht="21.75" customHeight="1">
      <c r="J90" s="4"/>
      <c r="K90" s="4"/>
      <c r="L90" s="4"/>
      <c r="M90" s="28"/>
      <c r="N90" s="3"/>
      <c r="O90" s="4"/>
    </row>
    <row r="91" spans="1:15" ht="21.75" customHeight="1">
      <c r="J91" s="4"/>
      <c r="K91" s="4"/>
      <c r="L91" s="4"/>
      <c r="M91" s="28"/>
      <c r="N91" s="3"/>
      <c r="O91" s="4"/>
    </row>
    <row r="92" spans="1:15" ht="21.75" customHeight="1">
      <c r="J92" s="4"/>
      <c r="K92" s="4"/>
      <c r="L92" s="4"/>
      <c r="M92" s="28"/>
      <c r="N92" s="3"/>
      <c r="O92" s="4"/>
    </row>
    <row r="93" spans="1:15" ht="21.75" customHeight="1">
      <c r="J93" s="4"/>
      <c r="K93" s="4"/>
      <c r="L93" s="4"/>
      <c r="M93" s="28"/>
      <c r="N93" s="3"/>
      <c r="O93" s="4"/>
    </row>
    <row r="94" spans="1:15" ht="21.75" customHeight="1">
      <c r="J94" s="4"/>
      <c r="K94" s="4"/>
      <c r="L94" s="4"/>
      <c r="M94" s="28"/>
      <c r="N94" s="3"/>
      <c r="O94" s="4"/>
    </row>
    <row r="95" spans="1:15" ht="21.75" customHeight="1">
      <c r="J95" s="4"/>
      <c r="K95" s="4"/>
      <c r="L95" s="4"/>
      <c r="M95" s="28"/>
      <c r="N95" s="3"/>
      <c r="O95" s="4"/>
    </row>
    <row r="96" spans="1:15" ht="21.75" customHeight="1">
      <c r="J96" s="4"/>
      <c r="K96" s="8"/>
      <c r="L96" s="8"/>
      <c r="M96" s="28"/>
      <c r="N96" s="3"/>
      <c r="O96" s="4"/>
    </row>
    <row r="97" spans="10:15" ht="21.75" customHeight="1">
      <c r="J97" s="4"/>
      <c r="K97" s="17"/>
      <c r="L97" s="17"/>
      <c r="M97" s="28"/>
      <c r="N97" s="3"/>
      <c r="O97" s="4"/>
    </row>
    <row r="98" spans="10:15" ht="21.75" customHeight="1">
      <c r="J98" s="4"/>
      <c r="K98" s="17"/>
      <c r="L98" s="17"/>
      <c r="M98" s="28"/>
      <c r="N98" s="3"/>
      <c r="O98" s="4"/>
    </row>
    <row r="99" spans="10:15" ht="21.75" customHeight="1">
      <c r="J99" s="4"/>
      <c r="K99" s="8"/>
      <c r="L99" s="8"/>
      <c r="M99" s="28"/>
      <c r="N99" s="3"/>
      <c r="O99" s="4"/>
    </row>
    <row r="100" spans="10:15" ht="21.75" customHeight="1">
      <c r="J100" s="4"/>
      <c r="K100" s="4"/>
      <c r="L100" s="4"/>
      <c r="M100" s="28"/>
      <c r="N100" s="3"/>
      <c r="O100" s="4"/>
    </row>
    <row r="101" spans="10:15" ht="21.75" customHeight="1">
      <c r="J101" s="4"/>
      <c r="K101" s="4"/>
      <c r="L101" s="4"/>
      <c r="M101" s="28"/>
      <c r="N101" s="3"/>
      <c r="O101" s="4"/>
    </row>
    <row r="102" spans="10:15" ht="21.75" customHeight="1">
      <c r="J102" s="4"/>
      <c r="K102" s="4"/>
      <c r="L102" s="4"/>
      <c r="M102" s="28"/>
      <c r="N102" s="3"/>
      <c r="O102" s="4"/>
    </row>
    <row r="103" spans="10:15" ht="21.75" customHeight="1">
      <c r="J103" s="4"/>
      <c r="K103" s="4"/>
      <c r="L103" s="4"/>
      <c r="M103" s="28"/>
      <c r="N103" s="3"/>
      <c r="O103" s="4"/>
    </row>
    <row r="104" spans="10:15" ht="21.75" customHeight="1">
      <c r="J104" s="4"/>
      <c r="K104" s="4"/>
      <c r="L104" s="4"/>
      <c r="M104" s="28"/>
      <c r="N104" s="3"/>
      <c r="O104" s="4"/>
    </row>
    <row r="105" spans="10:15" ht="21.75" customHeight="1">
      <c r="J105" s="4"/>
      <c r="K105" s="4"/>
      <c r="L105" s="4"/>
      <c r="M105" s="28"/>
      <c r="N105" s="3"/>
      <c r="O105" s="4"/>
    </row>
    <row r="106" spans="10:15" ht="21.75" customHeight="1">
      <c r="J106" s="4"/>
      <c r="K106" s="4"/>
      <c r="L106" s="4"/>
      <c r="M106" s="28"/>
      <c r="N106" s="3"/>
      <c r="O106" s="4"/>
    </row>
    <row r="107" spans="10:15" ht="21.75" customHeight="1">
      <c r="J107" s="4"/>
      <c r="K107" s="4"/>
      <c r="L107" s="4"/>
      <c r="M107" s="28"/>
      <c r="N107" s="3"/>
      <c r="O107" s="4"/>
    </row>
    <row r="108" spans="10:15" ht="21.75" customHeight="1">
      <c r="J108" s="4"/>
      <c r="K108" s="4"/>
      <c r="L108" s="4"/>
      <c r="M108" s="28"/>
      <c r="N108" s="3"/>
      <c r="O108" s="4"/>
    </row>
    <row r="109" spans="10:15" ht="21.75" customHeight="1">
      <c r="J109" s="4"/>
      <c r="K109" s="4"/>
      <c r="L109" s="4"/>
      <c r="M109" s="28"/>
      <c r="N109" s="3"/>
      <c r="O109" s="4"/>
    </row>
    <row r="110" spans="10:15" ht="21.75" customHeight="1">
      <c r="J110" s="4"/>
      <c r="K110" s="4"/>
      <c r="L110" s="4"/>
      <c r="M110" s="28"/>
      <c r="N110" s="3"/>
      <c r="O110" s="4"/>
    </row>
    <row r="111" spans="10:15" ht="21.75" customHeight="1">
      <c r="J111" s="4"/>
      <c r="K111" s="4"/>
      <c r="L111" s="4"/>
      <c r="M111" s="28"/>
      <c r="N111" s="3"/>
      <c r="O111" s="4"/>
    </row>
    <row r="112" spans="10:15" ht="21.75" customHeight="1">
      <c r="J112" s="4"/>
      <c r="K112" s="8"/>
      <c r="L112" s="8"/>
      <c r="M112" s="28"/>
      <c r="N112" s="3"/>
      <c r="O112" s="4"/>
    </row>
    <row r="113" spans="10:15" ht="21.75" customHeight="1">
      <c r="J113" s="4"/>
      <c r="K113" s="17"/>
      <c r="L113" s="17"/>
      <c r="M113" s="28"/>
      <c r="N113" s="3"/>
      <c r="O113" s="4"/>
    </row>
    <row r="114" spans="10:15" ht="21.75" customHeight="1">
      <c r="J114" s="4"/>
      <c r="K114" s="17"/>
      <c r="L114" s="17"/>
      <c r="M114" s="28"/>
      <c r="N114" s="3"/>
      <c r="O114" s="4"/>
    </row>
    <row r="115" spans="10:15" ht="21.75" customHeight="1">
      <c r="J115" s="4"/>
      <c r="K115" s="8"/>
      <c r="L115" s="8"/>
      <c r="M115" s="28"/>
      <c r="N115" s="3"/>
      <c r="O115" s="4"/>
    </row>
    <row r="116" spans="10:15" ht="21.75" customHeight="1">
      <c r="J116" s="4"/>
      <c r="K116" s="4"/>
      <c r="L116" s="4"/>
      <c r="M116" s="28"/>
      <c r="N116" s="3"/>
      <c r="O116" s="4"/>
    </row>
    <row r="117" spans="10:15" ht="21.75" customHeight="1">
      <c r="J117" s="4"/>
      <c r="K117" s="4"/>
      <c r="L117" s="4"/>
      <c r="M117" s="28"/>
      <c r="N117" s="3"/>
      <c r="O117" s="4"/>
    </row>
    <row r="118" spans="10:15" ht="21.75" customHeight="1">
      <c r="J118" s="4"/>
      <c r="K118" s="4"/>
      <c r="L118" s="4"/>
      <c r="M118" s="28"/>
      <c r="N118" s="3"/>
      <c r="O118" s="4"/>
    </row>
    <row r="119" spans="10:15" ht="21.75" customHeight="1">
      <c r="J119" s="4"/>
      <c r="K119" s="4"/>
      <c r="L119" s="4"/>
      <c r="M119" s="28"/>
      <c r="N119" s="3"/>
      <c r="O119" s="4"/>
    </row>
    <row r="120" spans="10:15" ht="21.75" customHeight="1">
      <c r="J120" s="4"/>
      <c r="K120" s="4"/>
      <c r="L120" s="4"/>
      <c r="M120" s="28"/>
      <c r="N120" s="3"/>
      <c r="O120" s="4"/>
    </row>
    <row r="121" spans="10:15" ht="21.75" customHeight="1">
      <c r="J121" s="4"/>
      <c r="K121" s="4"/>
      <c r="L121" s="4"/>
      <c r="M121" s="28"/>
      <c r="N121" s="3"/>
      <c r="O121" s="4"/>
    </row>
    <row r="122" spans="10:15" ht="21.75" customHeight="1">
      <c r="J122" s="4"/>
      <c r="K122" s="4"/>
      <c r="L122" s="4"/>
      <c r="M122" s="28"/>
      <c r="N122" s="3"/>
      <c r="O122" s="4"/>
    </row>
    <row r="123" spans="10:15" ht="21.75" customHeight="1">
      <c r="J123" s="4"/>
      <c r="K123" s="4"/>
      <c r="L123" s="4"/>
      <c r="M123" s="28"/>
      <c r="N123" s="3"/>
      <c r="O123" s="4"/>
    </row>
    <row r="124" spans="10:15" ht="21.75" customHeight="1">
      <c r="J124" s="4"/>
      <c r="K124" s="4"/>
      <c r="L124" s="4"/>
      <c r="M124" s="28"/>
      <c r="N124" s="3"/>
      <c r="O124" s="4"/>
    </row>
    <row r="125" spans="10:15" ht="21.75" customHeight="1">
      <c r="J125" s="4"/>
      <c r="K125" s="4"/>
      <c r="L125" s="4"/>
      <c r="M125" s="28"/>
      <c r="N125" s="3"/>
      <c r="O125" s="4"/>
    </row>
    <row r="126" spans="10:15" ht="21.75" customHeight="1">
      <c r="J126" s="4"/>
      <c r="K126" s="4"/>
      <c r="L126" s="4"/>
      <c r="M126" s="28"/>
      <c r="N126" s="3"/>
      <c r="O126" s="4"/>
    </row>
    <row r="127" spans="10:15" ht="21.75" customHeight="1">
      <c r="J127" s="4"/>
      <c r="K127" s="4"/>
      <c r="L127" s="4"/>
      <c r="M127" s="28"/>
      <c r="N127" s="3"/>
      <c r="O127" s="4"/>
    </row>
    <row r="128" spans="10:15" ht="21.75" customHeight="1">
      <c r="J128" s="4"/>
      <c r="K128" s="8"/>
      <c r="L128" s="8"/>
      <c r="M128" s="28"/>
      <c r="N128" s="3"/>
      <c r="O128" s="4"/>
    </row>
    <row r="129" spans="10:15" ht="21.75" customHeight="1">
      <c r="J129" s="4"/>
      <c r="K129" s="17"/>
      <c r="L129" s="17"/>
      <c r="M129" s="28"/>
      <c r="N129" s="3"/>
      <c r="O129" s="4"/>
    </row>
    <row r="130" spans="10:15" ht="21.75" customHeight="1">
      <c r="J130" s="4"/>
      <c r="K130" s="17"/>
      <c r="L130" s="17"/>
      <c r="M130" s="28"/>
      <c r="N130" s="3"/>
      <c r="O130" s="4"/>
    </row>
    <row r="131" spans="10:15" ht="21.75" customHeight="1">
      <c r="J131" s="4"/>
      <c r="K131" s="8"/>
      <c r="L131" s="8"/>
      <c r="M131" s="28"/>
      <c r="N131" s="3"/>
      <c r="O131" s="4"/>
    </row>
    <row r="132" spans="10:15" ht="21.75" customHeight="1">
      <c r="J132" s="4"/>
      <c r="K132" s="4"/>
      <c r="L132" s="4"/>
      <c r="M132" s="28"/>
      <c r="N132" s="3"/>
      <c r="O132" s="4"/>
    </row>
    <row r="133" spans="10:15" ht="21.75" customHeight="1">
      <c r="J133" s="4"/>
      <c r="K133" s="4"/>
      <c r="L133" s="4"/>
      <c r="M133" s="28"/>
      <c r="N133" s="3"/>
      <c r="O133" s="4"/>
    </row>
    <row r="134" spans="10:15" ht="21.75" customHeight="1">
      <c r="J134" s="4"/>
      <c r="K134" s="4"/>
      <c r="L134" s="4"/>
      <c r="M134" s="28"/>
      <c r="N134" s="3"/>
      <c r="O134" s="4"/>
    </row>
    <row r="135" spans="10:15" ht="21.75" customHeight="1">
      <c r="J135" s="4"/>
      <c r="K135" s="4"/>
      <c r="L135" s="4"/>
      <c r="M135" s="28"/>
      <c r="N135" s="3"/>
      <c r="O135" s="4"/>
    </row>
    <row r="136" spans="10:15" ht="21.75" customHeight="1">
      <c r="J136" s="4"/>
      <c r="K136" s="4"/>
      <c r="L136" s="4"/>
      <c r="M136" s="28"/>
      <c r="N136" s="3"/>
      <c r="O136" s="4"/>
    </row>
    <row r="137" spans="10:15" ht="21.75" customHeight="1">
      <c r="J137" s="4"/>
      <c r="K137" s="4"/>
      <c r="L137" s="4"/>
      <c r="M137" s="28"/>
      <c r="N137" s="3"/>
      <c r="O137" s="4"/>
    </row>
    <row r="138" spans="10:15" ht="21.75" customHeight="1">
      <c r="J138" s="4"/>
      <c r="K138" s="4"/>
      <c r="L138" s="4"/>
      <c r="M138" s="28"/>
      <c r="N138" s="3"/>
      <c r="O138" s="4"/>
    </row>
    <row r="139" spans="10:15" ht="21.75" customHeight="1">
      <c r="J139" s="4"/>
      <c r="K139" s="4"/>
      <c r="L139" s="4"/>
      <c r="M139" s="28"/>
      <c r="N139" s="3"/>
      <c r="O139" s="4"/>
    </row>
    <row r="140" spans="10:15" ht="21.75" customHeight="1">
      <c r="J140" s="4"/>
      <c r="K140" s="4"/>
      <c r="L140" s="4"/>
      <c r="M140" s="28"/>
      <c r="N140" s="3"/>
      <c r="O140" s="4"/>
    </row>
    <row r="141" spans="10:15" ht="21.75" customHeight="1">
      <c r="J141" s="4"/>
      <c r="K141" s="4"/>
      <c r="L141" s="4"/>
      <c r="M141" s="28"/>
      <c r="N141" s="3"/>
      <c r="O141" s="4"/>
    </row>
    <row r="142" spans="10:15" ht="21.75" customHeight="1">
      <c r="J142" s="4"/>
      <c r="K142" s="4"/>
      <c r="L142" s="4"/>
      <c r="M142" s="28"/>
      <c r="N142" s="3"/>
      <c r="O142" s="4"/>
    </row>
    <row r="143" spans="10:15" ht="21.75" customHeight="1">
      <c r="J143" s="4"/>
      <c r="K143" s="4"/>
      <c r="L143" s="4"/>
      <c r="M143" s="28"/>
      <c r="N143" s="3"/>
      <c r="O143" s="4"/>
    </row>
    <row r="144" spans="10:15" ht="21.75" customHeight="1">
      <c r="J144" s="4"/>
      <c r="K144" s="8"/>
      <c r="L144" s="8"/>
      <c r="M144" s="28"/>
      <c r="N144" s="3"/>
      <c r="O144" s="4"/>
    </row>
    <row r="145" spans="10:15" ht="21.75" customHeight="1">
      <c r="J145" s="4"/>
      <c r="K145" s="17"/>
      <c r="L145" s="17"/>
      <c r="M145" s="28"/>
      <c r="N145" s="3"/>
      <c r="O145" s="4"/>
    </row>
    <row r="146" spans="10:15" ht="21.75" customHeight="1">
      <c r="J146" s="4"/>
      <c r="K146" s="17"/>
      <c r="L146" s="17"/>
      <c r="M146" s="28"/>
      <c r="N146" s="3"/>
      <c r="O146" s="4"/>
    </row>
    <row r="147" spans="10:15" ht="21.75" customHeight="1">
      <c r="J147" s="4"/>
      <c r="K147" s="8"/>
      <c r="L147" s="8"/>
      <c r="M147" s="28"/>
      <c r="N147" s="3"/>
      <c r="O147" s="4"/>
    </row>
    <row r="148" spans="10:15" ht="21.75" customHeight="1">
      <c r="J148" s="4"/>
      <c r="K148" s="4"/>
      <c r="L148" s="4"/>
      <c r="M148" s="28"/>
      <c r="N148" s="3"/>
      <c r="O148" s="4"/>
    </row>
    <row r="149" spans="10:15" ht="21.75" customHeight="1">
      <c r="J149" s="4"/>
      <c r="K149" s="4"/>
      <c r="L149" s="4"/>
      <c r="M149" s="28"/>
      <c r="N149" s="3"/>
      <c r="O149" s="4"/>
    </row>
    <row r="150" spans="10:15" ht="21.75" customHeight="1">
      <c r="J150" s="4"/>
      <c r="K150" s="4"/>
      <c r="L150" s="4"/>
      <c r="M150" s="28"/>
      <c r="N150" s="3"/>
      <c r="O150" s="4"/>
    </row>
    <row r="151" spans="10:15" ht="21.75" customHeight="1">
      <c r="J151" s="4"/>
      <c r="K151" s="4"/>
      <c r="L151" s="4"/>
      <c r="M151" s="28"/>
      <c r="N151" s="3"/>
      <c r="O151" s="4"/>
    </row>
    <row r="152" spans="10:15" ht="21.75" customHeight="1">
      <c r="J152" s="4"/>
      <c r="K152" s="4"/>
      <c r="L152" s="4"/>
      <c r="M152" s="28"/>
      <c r="N152" s="3"/>
      <c r="O152" s="4"/>
    </row>
    <row r="153" spans="10:15" ht="21.75" customHeight="1">
      <c r="J153" s="4"/>
      <c r="K153" s="4"/>
      <c r="L153" s="4"/>
      <c r="M153" s="28"/>
      <c r="N153" s="3"/>
      <c r="O153" s="4"/>
    </row>
    <row r="154" spans="10:15" ht="21.75" customHeight="1">
      <c r="J154" s="4"/>
      <c r="K154" s="4"/>
      <c r="L154" s="4"/>
      <c r="M154" s="28"/>
      <c r="N154" s="3"/>
      <c r="O154" s="4"/>
    </row>
    <row r="155" spans="10:15" ht="21.75" customHeight="1">
      <c r="J155" s="4"/>
      <c r="K155" s="4"/>
      <c r="L155" s="4"/>
      <c r="M155" s="28"/>
      <c r="N155" s="3"/>
      <c r="O155" s="4"/>
    </row>
    <row r="156" spans="10:15" ht="21.75" customHeight="1">
      <c r="J156" s="4"/>
      <c r="K156" s="4"/>
      <c r="L156" s="4"/>
      <c r="M156" s="28"/>
      <c r="N156" s="3"/>
      <c r="O156" s="4"/>
    </row>
    <row r="157" spans="10:15" ht="21.75" customHeight="1">
      <c r="J157" s="4"/>
      <c r="K157" s="4"/>
      <c r="L157" s="4"/>
      <c r="M157" s="28"/>
      <c r="N157" s="3"/>
      <c r="O157" s="4"/>
    </row>
    <row r="158" spans="10:15" ht="21.75" customHeight="1">
      <c r="J158" s="4"/>
      <c r="K158" s="4"/>
      <c r="L158" s="4"/>
      <c r="M158" s="28"/>
      <c r="N158" s="3"/>
      <c r="O158" s="4"/>
    </row>
    <row r="159" spans="10:15" ht="21.75" customHeight="1">
      <c r="J159" s="4"/>
      <c r="K159" s="4"/>
      <c r="L159" s="4"/>
      <c r="M159" s="28"/>
      <c r="N159" s="3"/>
      <c r="O159" s="4"/>
    </row>
    <row r="160" spans="10:15" ht="21.75" customHeight="1">
      <c r="J160" s="4"/>
      <c r="K160" s="8"/>
      <c r="L160" s="8"/>
      <c r="M160" s="28"/>
      <c r="N160" s="3"/>
      <c r="O160" s="4"/>
    </row>
    <row r="161" spans="10:15" ht="21.75" customHeight="1">
      <c r="J161" s="4"/>
      <c r="K161" s="17"/>
      <c r="L161" s="17"/>
      <c r="M161" s="28"/>
      <c r="N161" s="3"/>
      <c r="O161" s="4"/>
    </row>
    <row r="162" spans="10:15" ht="21.75" customHeight="1">
      <c r="J162" s="4"/>
      <c r="K162" s="17"/>
      <c r="L162" s="17"/>
      <c r="M162" s="28"/>
      <c r="N162" s="3"/>
      <c r="O162" s="4"/>
    </row>
    <row r="163" spans="10:15" ht="21.75" customHeight="1">
      <c r="J163" s="4"/>
      <c r="K163" s="8"/>
      <c r="L163" s="8"/>
      <c r="M163" s="28"/>
      <c r="N163" s="3"/>
      <c r="O163" s="4"/>
    </row>
    <row r="164" spans="10:15" ht="21.75" customHeight="1">
      <c r="J164" s="4"/>
      <c r="K164" s="4"/>
      <c r="L164" s="4"/>
      <c r="M164" s="28"/>
      <c r="N164" s="3"/>
      <c r="O164" s="4"/>
    </row>
    <row r="165" spans="10:15" ht="21.75" customHeight="1">
      <c r="J165" s="4"/>
      <c r="K165" s="4"/>
      <c r="L165" s="4"/>
      <c r="M165" s="28"/>
      <c r="N165" s="3"/>
      <c r="O165" s="4"/>
    </row>
    <row r="166" spans="10:15" ht="21.75" customHeight="1">
      <c r="J166" s="4"/>
      <c r="K166" s="4"/>
      <c r="L166" s="4"/>
      <c r="M166" s="28"/>
      <c r="N166" s="3"/>
      <c r="O166" s="4"/>
    </row>
    <row r="167" spans="10:15" ht="21.75" customHeight="1">
      <c r="J167" s="4"/>
      <c r="K167" s="4"/>
      <c r="L167" s="4"/>
      <c r="M167" s="28"/>
      <c r="N167" s="3"/>
      <c r="O167" s="4"/>
    </row>
    <row r="168" spans="10:15" ht="21.75" customHeight="1">
      <c r="J168" s="4"/>
      <c r="K168" s="4"/>
      <c r="L168" s="4"/>
      <c r="M168" s="28"/>
      <c r="N168" s="3"/>
      <c r="O168" s="4"/>
    </row>
    <row r="169" spans="10:15" ht="21.75" customHeight="1">
      <c r="J169" s="4"/>
      <c r="K169" s="4"/>
      <c r="L169" s="4"/>
      <c r="M169" s="28"/>
      <c r="N169" s="3"/>
      <c r="O169" s="4"/>
    </row>
    <row r="170" spans="10:15" ht="21.75" customHeight="1">
      <c r="J170" s="4"/>
      <c r="K170" s="4"/>
      <c r="L170" s="4"/>
      <c r="M170" s="28"/>
      <c r="N170" s="3"/>
      <c r="O170" s="4"/>
    </row>
    <row r="171" spans="10:15" ht="21.75" customHeight="1">
      <c r="J171" s="4"/>
      <c r="K171" s="4"/>
      <c r="L171" s="4"/>
      <c r="M171" s="28"/>
      <c r="N171" s="3"/>
      <c r="O171" s="4"/>
    </row>
    <row r="172" spans="10:15" ht="21.75" customHeight="1">
      <c r="J172" s="4"/>
      <c r="K172" s="4"/>
      <c r="L172" s="4"/>
      <c r="M172" s="28"/>
      <c r="N172" s="3"/>
      <c r="O172" s="4"/>
    </row>
    <row r="173" spans="10:15" ht="21.75" customHeight="1">
      <c r="J173" s="4"/>
      <c r="K173" s="4"/>
      <c r="L173" s="4"/>
      <c r="M173" s="28"/>
      <c r="N173" s="3"/>
      <c r="O173" s="4"/>
    </row>
    <row r="174" spans="10:15" ht="21.75" customHeight="1">
      <c r="J174" s="4"/>
      <c r="K174" s="4"/>
      <c r="L174" s="4"/>
      <c r="M174" s="28"/>
      <c r="N174" s="3"/>
      <c r="O174" s="4"/>
    </row>
    <row r="175" spans="10:15" ht="21.75" customHeight="1">
      <c r="J175" s="4"/>
      <c r="K175" s="4"/>
      <c r="L175" s="4"/>
      <c r="M175" s="28"/>
      <c r="N175" s="3"/>
      <c r="O175" s="4"/>
    </row>
    <row r="176" spans="10:15" ht="21.75" customHeight="1">
      <c r="J176" s="4"/>
      <c r="K176" s="8"/>
      <c r="L176" s="8"/>
      <c r="M176" s="28"/>
      <c r="N176" s="3"/>
      <c r="O176" s="4"/>
    </row>
    <row r="177" spans="10:15" ht="21.75" customHeight="1">
      <c r="J177" s="4"/>
      <c r="K177" s="17"/>
      <c r="L177" s="17"/>
      <c r="M177" s="28"/>
      <c r="N177" s="3"/>
      <c r="O177" s="4"/>
    </row>
    <row r="178" spans="10:15" ht="21.75" customHeight="1">
      <c r="J178" s="4"/>
      <c r="K178" s="17"/>
      <c r="L178" s="17"/>
      <c r="M178" s="28"/>
      <c r="N178" s="3"/>
      <c r="O178" s="4"/>
    </row>
    <row r="179" spans="10:15" ht="21.75" customHeight="1">
      <c r="J179" s="4"/>
      <c r="K179" s="8"/>
      <c r="L179" s="8"/>
      <c r="M179" s="28"/>
      <c r="N179" s="3"/>
      <c r="O179" s="4"/>
    </row>
    <row r="180" spans="10:15" ht="21.75" customHeight="1">
      <c r="J180" s="4"/>
      <c r="K180" s="4"/>
      <c r="L180" s="4"/>
      <c r="M180" s="28"/>
      <c r="N180" s="3"/>
      <c r="O180" s="4"/>
    </row>
    <row r="181" spans="10:15">
      <c r="J181" s="4"/>
      <c r="K181" s="4"/>
      <c r="L181" s="4"/>
      <c r="M181" s="4"/>
      <c r="N181" s="3"/>
      <c r="O181" s="4"/>
    </row>
    <row r="182" spans="10:15">
      <c r="J182" s="4"/>
      <c r="K182" s="4"/>
      <c r="L182" s="4"/>
      <c r="M182" s="4"/>
      <c r="N182" s="3"/>
      <c r="O182" s="4"/>
    </row>
    <row r="183" spans="10:15">
      <c r="J183" s="4"/>
      <c r="K183" s="4"/>
      <c r="L183" s="4"/>
      <c r="M183" s="4"/>
      <c r="N183" s="3"/>
      <c r="O183" s="4"/>
    </row>
    <row r="184" spans="10:15">
      <c r="J184" s="4"/>
      <c r="K184" s="4"/>
      <c r="L184" s="4"/>
      <c r="M184" s="4"/>
      <c r="N184" s="3"/>
      <c r="O184" s="4"/>
    </row>
    <row r="185" spans="10:15">
      <c r="J185" s="4"/>
      <c r="K185" s="4"/>
      <c r="L185" s="4"/>
      <c r="M185" s="4"/>
      <c r="N185" s="3"/>
      <c r="O185" s="4"/>
    </row>
    <row r="186" spans="10:15">
      <c r="J186" s="4"/>
      <c r="K186" s="4"/>
      <c r="L186" s="4"/>
      <c r="M186" s="4"/>
      <c r="N186" s="3"/>
      <c r="O186" s="4"/>
    </row>
    <row r="187" spans="10:15">
      <c r="J187" s="4"/>
      <c r="K187" s="4"/>
      <c r="L187" s="4"/>
      <c r="M187" s="4"/>
      <c r="N187" s="3"/>
      <c r="O187" s="4"/>
    </row>
    <row r="188" spans="10:15">
      <c r="J188" s="4"/>
      <c r="K188" s="4"/>
      <c r="L188" s="4"/>
      <c r="M188" s="4"/>
      <c r="N188" s="3"/>
      <c r="O188" s="4"/>
    </row>
    <row r="189" spans="10:15">
      <c r="J189" s="4"/>
      <c r="K189" s="4"/>
      <c r="L189" s="4"/>
      <c r="M189" s="4"/>
      <c r="N189" s="3"/>
      <c r="O189" s="4"/>
    </row>
    <row r="190" spans="10:15">
      <c r="J190" s="4"/>
      <c r="K190" s="4"/>
      <c r="L190" s="4"/>
      <c r="M190" s="4"/>
      <c r="N190" s="3"/>
      <c r="O190" s="4"/>
    </row>
    <row r="191" spans="10:15">
      <c r="J191" s="4"/>
      <c r="K191" s="4"/>
      <c r="L191" s="4"/>
      <c r="M191" s="4"/>
      <c r="N191" s="3"/>
      <c r="O191" s="4"/>
    </row>
    <row r="192" spans="10:15">
      <c r="J192" s="4"/>
      <c r="K192" s="4"/>
      <c r="L192" s="4"/>
      <c r="M192" s="4"/>
      <c r="N192" s="3"/>
      <c r="O192" s="4"/>
    </row>
    <row r="193" spans="10: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>
      <c r="A1" s="46" t="s">
        <v>120</v>
      </c>
      <c r="N1" s="48"/>
    </row>
    <row r="2" spans="1:16" s="47" customFormat="1">
      <c r="A2" s="49" t="s">
        <v>67</v>
      </c>
      <c r="N2" s="50"/>
    </row>
    <row r="3" spans="1:16" s="47" customFormat="1">
      <c r="A3" s="49" t="s">
        <v>67</v>
      </c>
      <c r="N3" s="50"/>
    </row>
    <row r="4" spans="1:16" s="47" customFormat="1">
      <c r="A4" s="49" t="s">
        <v>107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211</v>
      </c>
      <c r="D9" s="5" t="s">
        <v>73</v>
      </c>
      <c r="E9" s="19">
        <f>E13-SUM(E10:E12)</f>
        <v>30</v>
      </c>
      <c r="L9" s="61"/>
      <c r="M9" s="61"/>
      <c r="N9" s="61"/>
      <c r="O9" s="61"/>
      <c r="P9" s="61"/>
    </row>
    <row r="10" spans="1:16">
      <c r="A10" s="5" t="s">
        <v>230</v>
      </c>
      <c r="B10" s="29" t="s">
        <v>207</v>
      </c>
      <c r="D10" s="5" t="s">
        <v>4</v>
      </c>
      <c r="E10" s="21">
        <f>COUNTIF(TestScriptTable3[Result],"Passed")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B20" s="4" t="s">
        <v>268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 t="s">
        <v>79</v>
      </c>
      <c r="B21" s="1" t="s">
        <v>196</v>
      </c>
      <c r="C21" s="13"/>
      <c r="D21" s="4" t="s">
        <v>37</v>
      </c>
      <c r="E21" s="4"/>
      <c r="F21" s="4" t="s">
        <v>197</v>
      </c>
      <c r="G21" s="4"/>
      <c r="H21" s="4" t="s">
        <v>41</v>
      </c>
      <c r="I21" s="4"/>
      <c r="J21" s="4"/>
      <c r="K21" s="4" t="s">
        <v>198</v>
      </c>
      <c r="L21" s="4"/>
      <c r="M21"/>
      <c r="N21" s="3"/>
      <c r="O21" s="4"/>
    </row>
    <row r="22" spans="1:16" ht="21.75" customHeight="1">
      <c r="A22" s="23" t="s">
        <v>79</v>
      </c>
      <c r="B22" s="1" t="s">
        <v>196</v>
      </c>
      <c r="C22" s="13"/>
      <c r="D22" s="4" t="s">
        <v>70</v>
      </c>
      <c r="E22" s="4" t="s">
        <v>49</v>
      </c>
      <c r="F22" s="4" t="s">
        <v>185</v>
      </c>
      <c r="G22" s="4" t="s">
        <v>199</v>
      </c>
      <c r="H22" s="4" t="s">
        <v>42</v>
      </c>
      <c r="I22" s="4"/>
      <c r="J22" s="4"/>
      <c r="K22" s="4" t="s">
        <v>200</v>
      </c>
      <c r="L22" s="4"/>
      <c r="M22"/>
      <c r="N22" s="3"/>
      <c r="O22" s="4"/>
    </row>
    <row r="23" spans="1:16" ht="21.75" customHeight="1">
      <c r="A23" s="23" t="s">
        <v>79</v>
      </c>
      <c r="B23" s="1" t="s">
        <v>196</v>
      </c>
      <c r="C23" s="13"/>
      <c r="D23" s="4" t="s">
        <v>70</v>
      </c>
      <c r="E23" s="4" t="s">
        <v>49</v>
      </c>
      <c r="F23" s="4" t="s">
        <v>186</v>
      </c>
      <c r="G23" s="4" t="s">
        <v>201</v>
      </c>
      <c r="H23" s="4" t="s">
        <v>42</v>
      </c>
      <c r="I23" s="4"/>
      <c r="J23" s="4"/>
      <c r="K23" s="4" t="s">
        <v>200</v>
      </c>
      <c r="L23" s="4"/>
      <c r="M23"/>
      <c r="N23" s="3"/>
      <c r="O23" s="4"/>
    </row>
    <row r="24" spans="1:16" ht="21.75" customHeight="1">
      <c r="A24" s="23" t="s">
        <v>79</v>
      </c>
      <c r="B24" s="1" t="s">
        <v>196</v>
      </c>
      <c r="C24" s="13"/>
      <c r="D24" s="4" t="s">
        <v>39</v>
      </c>
      <c r="E24" s="4" t="s">
        <v>49</v>
      </c>
      <c r="F24" s="4" t="s">
        <v>187</v>
      </c>
      <c r="G24" s="4"/>
      <c r="H24" s="4" t="s">
        <v>42</v>
      </c>
      <c r="I24" s="4"/>
      <c r="J24" s="4"/>
      <c r="K24" s="4" t="s">
        <v>209</v>
      </c>
      <c r="L24" s="4"/>
      <c r="M24"/>
      <c r="N24" s="3"/>
      <c r="O24" s="4"/>
    </row>
    <row r="25" spans="1:16" ht="21.75" customHeight="1">
      <c r="A25" s="23" t="s">
        <v>79</v>
      </c>
      <c r="B25" s="1" t="s">
        <v>196</v>
      </c>
      <c r="C25" s="13"/>
      <c r="D25" s="4" t="s">
        <v>70</v>
      </c>
      <c r="E25" s="4" t="s">
        <v>49</v>
      </c>
      <c r="F25" s="4" t="s">
        <v>188</v>
      </c>
      <c r="G25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208</v>
      </c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 t="s">
        <v>79</v>
      </c>
      <c r="B27" s="1" t="s">
        <v>202</v>
      </c>
      <c r="C27" s="13"/>
      <c r="D27" s="4" t="s">
        <v>37</v>
      </c>
      <c r="E27" s="4"/>
      <c r="F27" s="4" t="s">
        <v>203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 t="s">
        <v>79</v>
      </c>
      <c r="B28" s="1" t="s">
        <v>202</v>
      </c>
      <c r="C28" s="13"/>
      <c r="D28" s="4" t="s">
        <v>37</v>
      </c>
      <c r="E28" s="4"/>
      <c r="F28" s="4" t="s">
        <v>204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 t="s">
        <v>79</v>
      </c>
      <c r="B29" s="1" t="s">
        <v>202</v>
      </c>
      <c r="C29" s="13"/>
      <c r="D29" s="4" t="s">
        <v>70</v>
      </c>
      <c r="E29" s="4" t="s">
        <v>49</v>
      </c>
      <c r="F29" s="4" t="s">
        <v>189</v>
      </c>
      <c r="G29" s="4" t="s">
        <v>199</v>
      </c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 t="s">
        <v>79</v>
      </c>
      <c r="B30" s="1" t="s">
        <v>202</v>
      </c>
      <c r="C30" s="13"/>
      <c r="D30" s="4" t="s">
        <v>70</v>
      </c>
      <c r="E30" s="4" t="s">
        <v>49</v>
      </c>
      <c r="F30" s="4" t="s">
        <v>186</v>
      </c>
      <c r="G30" s="4" t="s">
        <v>201</v>
      </c>
      <c r="H30" s="4"/>
      <c r="I30" s="4"/>
      <c r="J30" s="4"/>
      <c r="K30" s="4"/>
      <c r="L30" s="4"/>
      <c r="M30"/>
      <c r="N30" s="3"/>
      <c r="O30" s="4"/>
    </row>
    <row r="31" spans="1:16" ht="21.75" customHeight="1">
      <c r="A31" s="23" t="s">
        <v>79</v>
      </c>
      <c r="B31" s="1" t="s">
        <v>202</v>
      </c>
      <c r="C31" s="13"/>
      <c r="D31" s="4" t="s">
        <v>39</v>
      </c>
      <c r="E31" s="4" t="s">
        <v>49</v>
      </c>
      <c r="F31" s="4" t="s">
        <v>190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>
      <c r="A32" s="23" t="s">
        <v>79</v>
      </c>
      <c r="B32" s="1" t="s">
        <v>202</v>
      </c>
      <c r="C32" s="13"/>
      <c r="D32" s="4" t="s">
        <v>37</v>
      </c>
      <c r="E32" s="4"/>
      <c r="F32" s="4" t="s">
        <v>205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>
      <c r="A33" s="23" t="s">
        <v>79</v>
      </c>
      <c r="B33" s="1" t="s">
        <v>202</v>
      </c>
      <c r="C33" s="13"/>
      <c r="D33" s="4" t="s">
        <v>70</v>
      </c>
      <c r="E33" s="4" t="s">
        <v>49</v>
      </c>
      <c r="F33" s="4" t="s">
        <v>191</v>
      </c>
      <c r="G33" s="4" t="s">
        <v>206</v>
      </c>
      <c r="H33" s="4"/>
      <c r="I33" s="4"/>
      <c r="J33" s="4"/>
      <c r="K33" s="4"/>
      <c r="L33" s="4"/>
      <c r="M33"/>
      <c r="N33" s="3"/>
      <c r="O33" s="4"/>
    </row>
    <row r="34" spans="1:15" ht="21.75" customHeight="1">
      <c r="A34" s="23" t="s">
        <v>79</v>
      </c>
      <c r="B34" s="1" t="s">
        <v>202</v>
      </c>
      <c r="C34" s="13"/>
      <c r="D34" s="4" t="s">
        <v>70</v>
      </c>
      <c r="E34" s="4" t="s">
        <v>49</v>
      </c>
      <c r="F34" s="4" t="s">
        <v>192</v>
      </c>
      <c r="G34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>
      <c r="A35" s="23" t="s">
        <v>79</v>
      </c>
      <c r="B35" s="1" t="s">
        <v>202</v>
      </c>
      <c r="C35" s="13"/>
      <c r="D35" s="4" t="s">
        <v>39</v>
      </c>
      <c r="E35" s="4" t="s">
        <v>49</v>
      </c>
      <c r="F35" s="4" t="s">
        <v>193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>
      <c r="A37" s="23" t="s">
        <v>79</v>
      </c>
      <c r="B37" s="1" t="s">
        <v>214</v>
      </c>
      <c r="C37" s="13"/>
      <c r="D37" s="4" t="s">
        <v>215</v>
      </c>
      <c r="E37" s="4"/>
      <c r="F37" s="4" t="s">
        <v>216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>
      <c r="A38" s="23" t="s">
        <v>79</v>
      </c>
      <c r="B38" s="1" t="s">
        <v>214</v>
      </c>
      <c r="C38" s="13"/>
      <c r="D38" s="4" t="s">
        <v>70</v>
      </c>
      <c r="E38" s="4" t="s">
        <v>217</v>
      </c>
      <c r="F38" s="4" t="s">
        <v>219</v>
      </c>
      <c r="G38" s="4" t="s">
        <v>199</v>
      </c>
      <c r="H38" s="4"/>
      <c r="I38" s="4"/>
      <c r="J38" s="4"/>
      <c r="K38" s="4"/>
      <c r="L38" s="4"/>
      <c r="M38"/>
      <c r="N38" s="3"/>
      <c r="O38" s="4"/>
    </row>
    <row r="39" spans="1:15" ht="21.75" customHeight="1">
      <c r="A39" s="23" t="s">
        <v>79</v>
      </c>
      <c r="B39" s="1" t="s">
        <v>214</v>
      </c>
      <c r="C39" s="13"/>
      <c r="D39" s="4" t="s">
        <v>39</v>
      </c>
      <c r="E39" s="4" t="s">
        <v>217</v>
      </c>
      <c r="F39" s="4" t="s">
        <v>220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>
      <c r="A40" s="23" t="s">
        <v>79</v>
      </c>
      <c r="B40" s="1" t="s">
        <v>214</v>
      </c>
      <c r="C40" s="13"/>
      <c r="D40" s="4" t="s">
        <v>70</v>
      </c>
      <c r="E40" s="4" t="s">
        <v>217</v>
      </c>
      <c r="F40" s="4" t="s">
        <v>218</v>
      </c>
      <c r="G40" s="4" t="s">
        <v>199</v>
      </c>
      <c r="H40" s="4"/>
      <c r="I40" s="4"/>
      <c r="J40" s="4"/>
      <c r="K40" s="4"/>
      <c r="L40" s="4"/>
      <c r="M40"/>
      <c r="N40" s="3"/>
      <c r="O40" s="4"/>
    </row>
    <row r="41" spans="1:15" ht="21.75" customHeight="1">
      <c r="A41" s="23" t="s">
        <v>79</v>
      </c>
      <c r="B41" s="1" t="s">
        <v>214</v>
      </c>
      <c r="C41" s="13"/>
      <c r="D41" s="4" t="s">
        <v>70</v>
      </c>
      <c r="E41" s="4" t="s">
        <v>217</v>
      </c>
      <c r="F41" s="4" t="s">
        <v>221</v>
      </c>
      <c r="G41" s="4" t="s">
        <v>201</v>
      </c>
      <c r="H41" s="4"/>
      <c r="I41" s="4"/>
      <c r="J41" s="4"/>
      <c r="K41" s="4"/>
      <c r="L41" s="4"/>
      <c r="M41"/>
      <c r="N41" s="3"/>
      <c r="O41" s="4"/>
    </row>
    <row r="42" spans="1:15" ht="21.75" customHeight="1">
      <c r="A42" s="23" t="s">
        <v>79</v>
      </c>
      <c r="B42" s="1" t="s">
        <v>214</v>
      </c>
      <c r="C42" s="13"/>
      <c r="D42" s="4" t="s">
        <v>39</v>
      </c>
      <c r="E42" s="4" t="s">
        <v>217</v>
      </c>
      <c r="F42" s="4" t="s">
        <v>222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>
      <c r="A43" s="23" t="s">
        <v>79</v>
      </c>
      <c r="B43" s="1" t="s">
        <v>214</v>
      </c>
      <c r="C43" s="13"/>
      <c r="D43" s="4" t="s">
        <v>39</v>
      </c>
      <c r="E43" s="4" t="s">
        <v>217</v>
      </c>
      <c r="F43" s="4" t="s">
        <v>227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>
      <c r="A44" s="23" t="s">
        <v>79</v>
      </c>
      <c r="B44" s="1" t="s">
        <v>214</v>
      </c>
      <c r="C44" s="13"/>
      <c r="D44" s="4" t="s">
        <v>39</v>
      </c>
      <c r="E44" s="4" t="s">
        <v>217</v>
      </c>
      <c r="F44" s="4" t="s">
        <v>228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>
      <c r="A45" s="23" t="s">
        <v>79</v>
      </c>
      <c r="B45" s="1" t="s">
        <v>214</v>
      </c>
      <c r="C45" s="13"/>
      <c r="D45" s="4" t="s">
        <v>70</v>
      </c>
      <c r="E45" s="4" t="s">
        <v>49</v>
      </c>
      <c r="F45" s="4" t="s">
        <v>223</v>
      </c>
      <c r="G45" s="4" t="s">
        <v>199</v>
      </c>
      <c r="H45" s="4"/>
      <c r="I45" s="4"/>
      <c r="J45" s="4"/>
      <c r="K45" s="4"/>
      <c r="L45" s="4"/>
      <c r="M45"/>
      <c r="N45" s="3"/>
      <c r="O45" s="4"/>
    </row>
    <row r="46" spans="1:15" ht="21.75" customHeight="1">
      <c r="A46" s="23" t="s">
        <v>79</v>
      </c>
      <c r="B46" s="1" t="s">
        <v>214</v>
      </c>
      <c r="C46" s="13"/>
      <c r="D46" s="4" t="s">
        <v>70</v>
      </c>
      <c r="E46" s="4" t="s">
        <v>49</v>
      </c>
      <c r="F46" s="4" t="s">
        <v>224</v>
      </c>
      <c r="G46" s="4" t="s">
        <v>225</v>
      </c>
      <c r="H46" s="4"/>
      <c r="I46" s="4"/>
      <c r="J46" s="4"/>
      <c r="K46" s="4"/>
      <c r="L46" s="4"/>
      <c r="M46"/>
      <c r="N46" s="3"/>
      <c r="O46" s="4"/>
    </row>
    <row r="47" spans="1:15" ht="21.75" customHeight="1">
      <c r="A47" s="23" t="s">
        <v>79</v>
      </c>
      <c r="B47" s="1" t="s">
        <v>214</v>
      </c>
      <c r="C47" s="13"/>
      <c r="D47" s="4" t="s">
        <v>70</v>
      </c>
      <c r="E47" s="4" t="s">
        <v>49</v>
      </c>
      <c r="F47" s="4" t="s">
        <v>226</v>
      </c>
      <c r="G47" s="2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>
      <c r="A48" s="23" t="s">
        <v>79</v>
      </c>
      <c r="B48" s="1" t="s">
        <v>214</v>
      </c>
      <c r="C48" s="13"/>
      <c r="D48" s="4" t="s">
        <v>39</v>
      </c>
      <c r="E48" s="4" t="s">
        <v>217</v>
      </c>
      <c r="F48" s="4" t="s">
        <v>229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>
      <c r="A1" s="46" t="s">
        <v>181</v>
      </c>
      <c r="N1" s="48"/>
    </row>
    <row r="2" spans="1:16" s="47" customFormat="1">
      <c r="A2" s="49" t="s">
        <v>182</v>
      </c>
      <c r="N2" s="50"/>
    </row>
    <row r="3" spans="1:16" s="47" customFormat="1">
      <c r="A3" s="49" t="s">
        <v>262</v>
      </c>
      <c r="N3" s="50"/>
    </row>
    <row r="4" spans="1:16" s="47" customFormat="1">
      <c r="A4" s="51" t="s">
        <v>183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1"/>
      <c r="M9" s="61"/>
      <c r="N9" s="61"/>
      <c r="O9" s="61"/>
      <c r="P9" s="61"/>
    </row>
    <row r="10" spans="1:16">
      <c r="A10" s="5" t="s">
        <v>11</v>
      </c>
      <c r="B10" s="29" t="s">
        <v>207</v>
      </c>
      <c r="D10" s="5" t="s">
        <v>4</v>
      </c>
      <c r="E10" s="21">
        <f>COUNTIF(TestScriptTable12[Result],"Passed")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</row>
    <row r="16" spans="1:16">
      <c r="A16" s="5"/>
      <c r="B16" s="6"/>
    </row>
    <row r="17" spans="1:17" s="9" customFormat="1" ht="21">
      <c r="A17" s="10" t="s">
        <v>30</v>
      </c>
    </row>
    <row r="18" spans="1:17" s="15" customFormat="1" ht="15.7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>
      <c r="A19" s="14" t="s">
        <v>64</v>
      </c>
      <c r="B19" s="14" t="s">
        <v>10</v>
      </c>
      <c r="C19" s="14" t="s">
        <v>271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272</v>
      </c>
    </row>
    <row r="20" spans="1:17" ht="21.75" customHeight="1">
      <c r="A20" s="23" t="s">
        <v>76</v>
      </c>
      <c r="B20" s="1" t="s">
        <v>273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247</v>
      </c>
      <c r="H20" s="4"/>
      <c r="I20" s="4" t="s">
        <v>44</v>
      </c>
      <c r="J20" s="4" t="s">
        <v>49</v>
      </c>
      <c r="K20" s="4" t="s">
        <v>184</v>
      </c>
      <c r="L20" s="4" t="s">
        <v>270</v>
      </c>
      <c r="M20" s="4"/>
      <c r="N20"/>
      <c r="O20" s="3"/>
      <c r="P20" s="4"/>
    </row>
    <row r="21" spans="1:17" ht="23.25" customHeight="1">
      <c r="A21" s="23" t="s">
        <v>76</v>
      </c>
      <c r="B21" s="1" t="s">
        <v>275</v>
      </c>
      <c r="C21" s="4" t="s">
        <v>280</v>
      </c>
      <c r="D21" s="1" t="str">
        <f t="shared" si="0"/>
        <v>checkLatest2</v>
      </c>
      <c r="E21" s="4" t="s">
        <v>37</v>
      </c>
      <c r="F21" s="4"/>
      <c r="G21" s="4" t="s">
        <v>248</v>
      </c>
      <c r="H21" s="4"/>
      <c r="I21" s="4" t="s">
        <v>44</v>
      </c>
      <c r="J21" s="4" t="s">
        <v>49</v>
      </c>
      <c r="K21" s="4" t="s">
        <v>184</v>
      </c>
      <c r="L21" s="4" t="s">
        <v>249</v>
      </c>
      <c r="M21" s="4"/>
      <c r="N21"/>
      <c r="O21" s="3"/>
      <c r="P21" s="4"/>
      <c r="Q21" s="4"/>
    </row>
    <row r="22" spans="1:17" ht="24.75" customHeight="1">
      <c r="A22" s="56" t="s">
        <v>76</v>
      </c>
      <c r="B22" s="1" t="s">
        <v>276</v>
      </c>
      <c r="C22" s="4" t="s">
        <v>274</v>
      </c>
      <c r="D22" s="1" t="str">
        <f t="shared" si="0"/>
        <v>checkLatest3</v>
      </c>
      <c r="E22" s="57" t="s">
        <v>37</v>
      </c>
      <c r="F22" s="57"/>
      <c r="G22" s="57" t="s">
        <v>250</v>
      </c>
      <c r="H22" s="57"/>
      <c r="I22" s="57" t="s">
        <v>44</v>
      </c>
      <c r="J22" s="57" t="s">
        <v>49</v>
      </c>
      <c r="K22" s="57" t="s">
        <v>251</v>
      </c>
      <c r="L22" s="57" t="s">
        <v>252</v>
      </c>
      <c r="M22" s="57"/>
      <c r="N22"/>
      <c r="O22" s="58"/>
      <c r="P22" s="57"/>
      <c r="Q22" s="4"/>
    </row>
    <row r="23" spans="1:17" ht="21.75" customHeight="1">
      <c r="A23" s="56" t="s">
        <v>76</v>
      </c>
      <c r="B23" s="1" t="s">
        <v>277</v>
      </c>
      <c r="D23" s="1" t="str">
        <f t="shared" si="0"/>
        <v>checkLatest4</v>
      </c>
      <c r="E23" s="57" t="s">
        <v>37</v>
      </c>
      <c r="F23" s="4"/>
      <c r="G23" s="4" t="s">
        <v>253</v>
      </c>
      <c r="H23" s="4"/>
      <c r="I23" s="57" t="s">
        <v>44</v>
      </c>
      <c r="J23" s="57" t="s">
        <v>49</v>
      </c>
      <c r="K23" s="4" t="s">
        <v>255</v>
      </c>
      <c r="L23" s="4" t="s">
        <v>258</v>
      </c>
      <c r="M23" s="4"/>
      <c r="N23"/>
      <c r="O23" s="3"/>
      <c r="P23" s="4"/>
    </row>
    <row r="24" spans="1:17" ht="21.75" customHeight="1">
      <c r="A24" s="56" t="s">
        <v>76</v>
      </c>
      <c r="B24" s="1" t="s">
        <v>278</v>
      </c>
      <c r="D24" s="1" t="str">
        <f t="shared" si="0"/>
        <v>checkLatest5</v>
      </c>
      <c r="E24" s="4" t="s">
        <v>254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256</v>
      </c>
      <c r="L24" s="4" t="s">
        <v>259</v>
      </c>
      <c r="M24" s="4"/>
      <c r="N24"/>
      <c r="O24" s="3"/>
      <c r="P24" s="4"/>
    </row>
    <row r="25" spans="1:17" ht="21.75" customHeight="1">
      <c r="A25" s="56" t="s">
        <v>76</v>
      </c>
      <c r="B25" s="1" t="s">
        <v>279</v>
      </c>
      <c r="D25" s="1" t="str">
        <f t="shared" si="0"/>
        <v>checkLatest6</v>
      </c>
      <c r="E25" s="4" t="s">
        <v>254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257</v>
      </c>
      <c r="L25" s="4" t="s">
        <v>260</v>
      </c>
      <c r="M25" s="4"/>
      <c r="N25"/>
      <c r="O25" s="3"/>
      <c r="P25" s="4"/>
    </row>
    <row r="26" spans="1:17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>
      <c r="A5" s="1" t="s">
        <v>119</v>
      </c>
      <c r="B5" s="1" t="s">
        <v>55</v>
      </c>
      <c r="C5" s="1" t="s">
        <v>53</v>
      </c>
      <c r="D5" s="1" t="s">
        <v>41</v>
      </c>
    </row>
    <row r="6" spans="1:6">
      <c r="A6" s="1" t="s">
        <v>23</v>
      </c>
      <c r="B6" s="1" t="s">
        <v>38</v>
      </c>
    </row>
    <row r="7" spans="1:6">
      <c r="B7" s="1" t="s">
        <v>36</v>
      </c>
    </row>
    <row r="8" spans="1:6">
      <c r="B8" s="1" t="s">
        <v>19</v>
      </c>
    </row>
    <row r="9" spans="1:6">
      <c r="B9" s="1" t="s">
        <v>27</v>
      </c>
    </row>
    <row r="10" spans="1:6">
      <c r="B10" s="1" t="s">
        <v>281</v>
      </c>
    </row>
    <row r="11" spans="1:6">
      <c r="B11" s="1" t="s">
        <v>238</v>
      </c>
    </row>
    <row r="12" spans="1:6">
      <c r="B12" s="1" t="s">
        <v>17</v>
      </c>
    </row>
    <row r="13" spans="1:6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sample_commandReference</vt:lpstr>
      <vt:lpstr>template</vt:lpstr>
      <vt:lpstr>BATCH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fj5620ja@aa.jp.fujitsu.com</cp:lastModifiedBy>
  <cp:lastPrinted>2016-12-17T04:39:22Z</cp:lastPrinted>
  <dcterms:created xsi:type="dcterms:W3CDTF">2016-12-07T07:53:01Z</dcterms:created>
  <dcterms:modified xsi:type="dcterms:W3CDTF">2017-01-13T02:47:28Z</dcterms:modified>
</cp:coreProperties>
</file>