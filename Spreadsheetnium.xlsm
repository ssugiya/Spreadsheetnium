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/>
  </bookViews>
  <sheets>
    <sheet name="sample_commandReference" sheetId="14" r:id="rId1"/>
    <sheet name="template" sheetId="4" r:id="rId2"/>
    <sheet name="BATCH_RUN" sheetId="5" r:id="rId3"/>
    <sheet name="CheckForUpdates" sheetId="15" r:id="rId4"/>
    <sheet name="REPORT_RESULTS" sheetId="13" r:id="rId5"/>
    <sheet name="LISTBOX_DATA" sheetId="2" r:id="rId6"/>
  </sheets>
  <definedNames>
    <definedName name="ActionTarget" localSheetId="3">TestScriptTable19[[#Headers],[ActionTarget]]</definedName>
    <definedName name="ActionTarget" localSheetId="4">TestScriptTable3[[#Headers],[ActionTarget]]</definedName>
    <definedName name="ActionTarget" localSheetId="0">TestScriptTable16[[#Headers],[ActionTarget]]</definedName>
    <definedName name="ActionTarget">TestScriptTable[[#Headers],[ActionTarget]]</definedName>
    <definedName name="ActionValue" localSheetId="3">TestScriptTable19[[#Headers],[ActionValue]]</definedName>
    <definedName name="ActionValue" localSheetId="4">TestScriptTable3[[#Headers],[ActionValue]]</definedName>
    <definedName name="ActionValue" localSheetId="0">TestScriptTable16[[#Headers],[ActionValue]]</definedName>
    <definedName name="ActionValue">TestScriptTable[[#Headers],[ActionValue]]</definedName>
    <definedName name="ActualResult" localSheetId="3">TestScriptTable19[[#Headers],[ActualResult]]</definedName>
    <definedName name="ActualResult" localSheetId="4">TestScriptTable3[[#Headers],[ActualResult]]</definedName>
    <definedName name="ActualResult" localSheetId="0">TestScriptTable16[[#Headers],[ActualResult]]</definedName>
    <definedName name="ActualResult">TestScriptTable[[#Headers],[ActualResult]]</definedName>
    <definedName name="baseURL" localSheetId="3">CheckForUpdates!$B$10</definedName>
    <definedName name="baseURL" localSheetId="4">REPORT_RESULTS!$B$10</definedName>
    <definedName name="baseURL" localSheetId="0">sample_commandReference!$B$10</definedName>
    <definedName name="baseURL">template!$B$10</definedName>
    <definedName name="batchFailed" localSheetId="3">batchRunTBL[[#Headers],[Failed]]</definedName>
    <definedName name="batchFailed" localSheetId="4">batchRunTBL[[#Headers],[Failed]]</definedName>
    <definedName name="batchFailed" localSheetId="0">batchRunTBL[[#Headers],[Failed]]</definedName>
    <definedName name="batchFailed">batchRunTBL[[#Headers],[Failed]]</definedName>
    <definedName name="batchNotTested" localSheetId="3">batchRunTBL[[#Headers],[Not Tested]]</definedName>
    <definedName name="batchNotTested" localSheetId="4">batchRunTBL[[#Headers],[Not Tested]]</definedName>
    <definedName name="batchNotTested" localSheetId="0">batchRunTBL[[#Headers],[Not Tested]]</definedName>
    <definedName name="batchNotTested">batchRunTBL[[#Headers],[Not Tested]]</definedName>
    <definedName name="batchPassed" localSheetId="3">batchRunTBL[[#Headers],[Passed]]</definedName>
    <definedName name="batchPassed" localSheetId="4">batchRunTBL[[#Headers],[Passed]]</definedName>
    <definedName name="batchPassed" localSheetId="0">batchRunTBL[[#Headers],[Passed]]</definedName>
    <definedName name="batchPassed">batchRunTBL[[#Headers],[Passed]]</definedName>
    <definedName name="batchSkipped" localSheetId="3">batchRunTBL[[#Headers],[Skipped]]</definedName>
    <definedName name="batchSkipped" localSheetId="4">batchRunTBL[[#Headers],[Skipped]]</definedName>
    <definedName name="batchSkipped" localSheetId="0">batchRunTBL[[#Headers],[Skipped]]</definedName>
    <definedName name="batchSkipped">batchRunTBL[[#Headers],[Skipped]]</definedName>
    <definedName name="batchTarget" localSheetId="3">batchRunTBL[[#Headers],[run target]]</definedName>
    <definedName name="batchTarget" localSheetId="4">batchRunTBL[[#Headers],[run target]]</definedName>
    <definedName name="batchTarget" localSheetId="0">batchRunTBL[[#Headers],[run target]]</definedName>
    <definedName name="batchTarget">batchRunTBL[[#Headers],[run target]]</definedName>
    <definedName name="batchTotal" localSheetId="3">batchRunTBL[[#Headers],[Total]]</definedName>
    <definedName name="batchTotal" localSheetId="4">batchRunTBL[[#Headers],[Total]]</definedName>
    <definedName name="batchTotal" localSheetId="0">batchRunTBL[[#Headers],[Total]]</definedName>
    <definedName name="batchTotal">batchRunTBL[[#Headers],[Total]]</definedName>
    <definedName name="Command" localSheetId="3">TestScriptTable19[[#Headers],[Command]]</definedName>
    <definedName name="Command" localSheetId="4">TestScriptTable3[[#Headers],[Command]]</definedName>
    <definedName name="Command" localSheetId="0">TestScriptTable16[[#Headers],[Command]]</definedName>
    <definedName name="Command">TestScriptTable[[#Headers],[Command]]</definedName>
    <definedName name="DeleteCookie" localSheetId="3">CheckForUpdates!$B$14</definedName>
    <definedName name="DeleteCookie" localSheetId="4">REPORT_RESULTS!$B$14</definedName>
    <definedName name="DeleteCookie" localSheetId="0">sample_commandReference!$B$14</definedName>
    <definedName name="DeleteCookie">template!$B$14</definedName>
    <definedName name="Description" localSheetId="3">TestScriptTable19[[#Headers],[Description]]</definedName>
    <definedName name="Description" localSheetId="4">TestScriptTable3[[#Headers],[Description]]</definedName>
    <definedName name="Description" localSheetId="0">TestScriptTable16[[#Headers],[Description]]</definedName>
    <definedName name="Description">TestScriptTable[[#Headers],[Description]]</definedName>
    <definedName name="Error_Message" localSheetId="3">TestScriptTable19[[#Headers],[ErrorMessage]]</definedName>
    <definedName name="Error_Message" localSheetId="4">TestScriptTable3[[#Headers],[ErrorMessage]]</definedName>
    <definedName name="Error_Message" localSheetId="0">TestScriptTable16[[#Headers],[ErrorMessage]]</definedName>
    <definedName name="Error_Message">TestScriptTable[[#Headers],[ErrorMessage]]</definedName>
    <definedName name="ExpectedResult" localSheetId="3">TestScriptTable19[[#Headers],[ExpectedResult]]</definedName>
    <definedName name="ExpectedResult" localSheetId="4">TestScriptTable3[[#Headers],[ExpectedResult]]</definedName>
    <definedName name="ExpectedResult" localSheetId="0">TestScriptTable16[[#Headers],[ExpectedResult]]</definedName>
    <definedName name="ExpectedResult">TestScriptTable[[#Headers],[ExpectedResult]]</definedName>
    <definedName name="Failed" localSheetId="3">CheckForUpdates!$E$11</definedName>
    <definedName name="Failed" localSheetId="0">sample_commandReference!$E$11</definedName>
    <definedName name="Failed">template!$E$11</definedName>
    <definedName name="FindMethod" localSheetId="3">TestScriptTable19[[#Headers],[FindMethod]]</definedName>
    <definedName name="FindMethod" localSheetId="4">TestScriptTable3[[#Headers],[FindMethod]]</definedName>
    <definedName name="FindMethod" localSheetId="0">TestScriptTable16[[#Headers],[FindMethod]]</definedName>
    <definedName name="FindMethod">TestScriptTable[[#Headers],[FindMethod]]</definedName>
    <definedName name="LastUpdate" localSheetId="3">TestScriptTable19[[#Headers],[LastUpdate]]</definedName>
    <definedName name="LastUpdate" localSheetId="4">TestScriptTable3[[#Headers],[LastUpdate]]</definedName>
    <definedName name="LastUpdate" localSheetId="0">TestScriptTable16[[#Headers],[LastUpdate]]</definedName>
    <definedName name="LastUpdate">TestScriptTable[[#Headers],[LastUpdate]]</definedName>
    <definedName name="Memo" localSheetId="3">TestScriptTable19[[#Headers],[Memo]]</definedName>
    <definedName name="Memo" localSheetId="4">TestScriptTable3[[#Headers],[Memo]]</definedName>
    <definedName name="Memo" localSheetId="0">TestScriptTable16[[#Headers],[Memo]]</definedName>
    <definedName name="Memo">TestScriptTable[[#Headers],[Memo]]</definedName>
    <definedName name="NotTested" localSheetId="3">CheckForUpdates!$E$9</definedName>
    <definedName name="NotTested" localSheetId="0">sample_commandReference!$E$9</definedName>
    <definedName name="NotTested">template!$E$9</definedName>
    <definedName name="Passed" localSheetId="3">CheckForUpdates!$E$10</definedName>
    <definedName name="Passed" localSheetId="0">sample_commandReference!$E$10</definedName>
    <definedName name="Passed">template!$E$10</definedName>
    <definedName name="Progressrate" localSheetId="3">CheckForUpdates!$E$14</definedName>
    <definedName name="Progressrate" localSheetId="0">sample_commandReference!$E$14</definedName>
    <definedName name="Progressrate">template!$E$14</definedName>
    <definedName name="Result" localSheetId="3">TestScriptTable19[[#Headers],[Result]]</definedName>
    <definedName name="Result" localSheetId="4">TestScriptTable3[[#Headers],[Result]]</definedName>
    <definedName name="Result" localSheetId="0">TestScriptTable16[[#Headers],[Result]]</definedName>
    <definedName name="Result">TestScriptTable[[#Headers],[Result]]</definedName>
    <definedName name="ResultsSummary">BATCH_RUN!$A$16</definedName>
    <definedName name="runTarget" localSheetId="3">TestScriptTable19[[#Headers],[runTarget]]</definedName>
    <definedName name="runTarget" localSheetId="4">TestScriptTable3[[#Headers],[runTarget]]</definedName>
    <definedName name="runTarget" localSheetId="0">TestScriptTable16[[#Headers],[runTarget]]</definedName>
    <definedName name="runTarget">TestScriptTable[[#Headers],[runTarget]]</definedName>
    <definedName name="ScreenshotPath" localSheetId="3">CheckForUpdates!$B$13</definedName>
    <definedName name="ScreenshotPath" localSheetId="4">REPORT_RESULTS!$B$13</definedName>
    <definedName name="ScreenshotPath" localSheetId="0">sample_commandReference!$B$13</definedName>
    <definedName name="ScreenshotPath">template!$B$13</definedName>
    <definedName name="scriptID" localSheetId="3">TestScriptTable19[[#Headers],[scriptID]]</definedName>
    <definedName name="scriptID" localSheetId="4">TestScriptTable3[[#Headers],[scriptID]]</definedName>
    <definedName name="scriptID" localSheetId="0">TestScriptTable16[[#Headers],[scriptID]]</definedName>
    <definedName name="scriptID">TestScriptTable[[#Headers],[scriptID]]</definedName>
    <definedName name="SheetName" localSheetId="3">batchRunTBL[[#Headers],[SheetName]]</definedName>
    <definedName name="SheetName" localSheetId="4">batchRunTBL[[#Headers],[SheetName]]</definedName>
    <definedName name="SheetName" localSheetId="0">batchRunTBL[[#Headers],[SheetName]]</definedName>
    <definedName name="SheetName">batchRunTBL[[#Headers],[SheetName]]</definedName>
    <definedName name="Skipped" localSheetId="3">CheckForUpdates!$E$12</definedName>
    <definedName name="Skipped" localSheetId="0">sample_commandReference!$E$12</definedName>
    <definedName name="Skipped">template!$E$12</definedName>
    <definedName name="status" localSheetId="3">batchRunTBL[[#Headers],[Status]]</definedName>
    <definedName name="status" localSheetId="4">batchRunTBL[[#Headers],[Status]]</definedName>
    <definedName name="status" localSheetId="0">batchRunTBL[[#Headers],[Status]]</definedName>
    <definedName name="status">batchRunTBL[[#Headers],[Status]]</definedName>
    <definedName name="StatusButton">"四角形: 角を丸くする 1"</definedName>
    <definedName name="targetBrowser" localSheetId="3">CheckForUpdates!$B$9</definedName>
    <definedName name="targetBrowser" localSheetId="4">REPORT_RESULTS!$B$9</definedName>
    <definedName name="targetBrowser" localSheetId="0">sample_commandReference!$B$9</definedName>
    <definedName name="targetBrowser">template!$B$9</definedName>
    <definedName name="TestScript">REPORT_RESULTS!$A$17</definedName>
    <definedName name="TestScriptLabel" localSheetId="3">CheckForUpdates!$A$17</definedName>
    <definedName name="TestScriptLabel" localSheetId="4">REPORT_RESULTS!$A$17</definedName>
    <definedName name="TestScriptLabel" localSheetId="0">sample_commandReference!$A$17</definedName>
    <definedName name="TestScriptLabel">template!$A$17</definedName>
    <definedName name="testTitle" localSheetId="3">CheckForUpdates!$A$1</definedName>
    <definedName name="testTitle" localSheetId="0">sample_commandReference!$A$1</definedName>
    <definedName name="testTitle">template!$A$1</definedName>
    <definedName name="Total" localSheetId="3">CheckForUpdates!$E$13</definedName>
    <definedName name="Total" localSheetId="0">sample_commandReference!$E$13</definedName>
    <definedName name="Total">template!$E$13</definedName>
    <definedName name="VerificationCommand" localSheetId="3">TestScriptTable19[[#Headers],[VerificationCommand]]</definedName>
    <definedName name="VerificationCommand" localSheetId="4">TestScriptTable3[[#Headers],[VerificationCommand]]</definedName>
    <definedName name="VerificationCommand" localSheetId="0">TestScriptTable16[[#Headers],[VerificationCommand]]</definedName>
    <definedName name="VerificationCommand">TestScriptTable[[#Headers],[VerificationCommand]]</definedName>
    <definedName name="Verificationmethod" localSheetId="3">TestScriptTable19[[#Headers],[Verificationmethod]]</definedName>
    <definedName name="Verificationmethod" localSheetId="4">TestScriptTable3[[#Headers],[Verificationmethod]]</definedName>
    <definedName name="Verificationmethod" localSheetId="0">TestScriptTable16[[#Headers],[Verificationmethod]]</definedName>
    <definedName name="Verificationmethod">TestScriptTable[[#Headers],[Verificationmethod]]</definedName>
    <definedName name="VerificationTarget" localSheetId="3">TestScriptTable19[[#Headers],[VerificationTarget]]</definedName>
    <definedName name="VerificationTarget" localSheetId="4">TestScriptTable3[[#Headers],[VerificationTarget]]</definedName>
    <definedName name="VerificationTarget" localSheetId="0">TestScriptTable16[[#Headers],[VerificationTarget]]</definedName>
    <definedName name="VerificationTarget">TestScriptTable[[#Headers],[VerificationTarget]]</definedName>
    <definedName name="windowSizeH" localSheetId="3">CheckForUpdates!$B$12</definedName>
    <definedName name="windowSizeH" localSheetId="4">REPORT_RESULTS!$B$12</definedName>
    <definedName name="windowSizeH" localSheetId="0">sample_commandReference!$B$12</definedName>
    <definedName name="windowSizeH">template!$B$12</definedName>
    <definedName name="windowSizeW" localSheetId="3">CheckForUpdates!$B$11</definedName>
    <definedName name="windowSizeW" localSheetId="4">REPORT_RESULTS!$B$11</definedName>
    <definedName name="windowSizeW" localSheetId="0">sample_commandReference!$B$11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" i="13" l="1"/>
  <c r="G25" i="13"/>
  <c r="K21" i="15"/>
  <c r="E13" i="15"/>
  <c r="E12" i="15"/>
  <c r="E11" i="15"/>
  <c r="E10" i="15"/>
  <c r="E13" i="14"/>
  <c r="E12" i="14"/>
  <c r="E11" i="14"/>
  <c r="E10" i="14"/>
  <c r="B9" i="5"/>
  <c r="B10" i="5"/>
  <c r="B11" i="5"/>
  <c r="B12" i="5"/>
  <c r="B13" i="5"/>
  <c r="E13" i="13"/>
  <c r="E12" i="13"/>
  <c r="E11" i="13"/>
  <c r="E10" i="13"/>
  <c r="B14" i="5" l="1"/>
  <c r="E9" i="15"/>
  <c r="E14" i="15" s="1"/>
  <c r="E9" i="14"/>
  <c r="E14" i="14" s="1"/>
  <c r="E9" i="13"/>
  <c r="E14" i="13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<sst xmlns="http://schemas.openxmlformats.org/spreadsheetml/2006/main" count="704" uniqueCount="268">
  <si>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</si>
  <si>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</si>
  <si>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</si>
  <si>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</si>
  <si>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</si>
  <si>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</si>
  <si>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</si>
  <si>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</si>
  <si>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</si>
  <si>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</si>
  <si>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</si>
  <si>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</si>
  <si>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</si>
  <si>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</si>
  <si>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</si>
  <si>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</si>
  <si>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</si>
  <si>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</si>
  <si>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</si>
  <si>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</si>
  <si>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</si>
  <si>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</si>
  <si>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</si>
  <si>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</si>
  <si>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</si>
  <si>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</si>
  <si>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</si>
  <si>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</si>
  <si>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</si>
  <si>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</si>
  <si>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</si>
  <si>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</si>
  <si>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</si>
  <si>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</si>
  <si>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</si>
  <si>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</si>
  <si>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</si>
  <si>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</si>
  <si>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</si>
  <si>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</si>
  <si>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</si>
  <si>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</si>
  <si>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</si>
  <si>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</si>
  <si>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</si>
  <si>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</si>
  <si>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</si>
  <si>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</si>
  <si>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</si>
  <si>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</si>
  <si>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</si>
  <si>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</si>
  <si>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</si>
  <si>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</si>
  <si>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</si>
  <si>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</si>
  <si>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</si>
  <si>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</si>
  <si>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</si>
  <si>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</si>
  <si>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</si>
  <si>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</si>
  <si>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</si>
  <si>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</si>
  <si>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</si>
  <si>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</si>
  <si>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</si>
  <si>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</si>
  <si>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</si>
  <si>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</si>
  <si>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</si>
  <si>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</si>
  <si>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</si>
  <si>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</si>
  <si>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</si>
  <si>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</si>
  <si>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</si>
  <si>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</si>
  <si>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</si>
  <si>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</si>
  <si>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</si>
  <si>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</si>
  <si>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</si>
  <si>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</si>
  <si>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</si>
  <si>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</si>
  <si>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</si>
  <si>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</si>
  <si>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</si>
  <si>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</si>
  <si>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</si>
  <si>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</si>
  <si>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</si>
  <si>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</si>
  <si>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</si>
  <si>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</si>
  <si>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</si>
  <si>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</si>
  <si>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</si>
  <si>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</si>
  <si>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</si>
  <si>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</si>
  <si>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</si>
  <si>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</si>
  <si>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Status</t>
  </si>
  <si>
    <t>Count</t>
  </si>
  <si>
    <t>Progress rate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</si>
  <si>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</si>
  <si>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</si>
  <si>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</si>
  <si>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</si>
  <si>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Batch run sheet</t>
    <phoneticPr fontId="1"/>
  </si>
  <si>
    <t>Spreadsheetnium test title here</t>
    <phoneticPr fontId="1"/>
  </si>
  <si>
    <t>Spreadsheetnium command reference</t>
    <phoneticPr fontId="1"/>
  </si>
  <si>
    <t>run target</t>
    <phoneticPr fontId="1"/>
  </si>
  <si>
    <t>Ready to run</t>
  </si>
  <si>
    <t>sample_commandReference</t>
  </si>
  <si>
    <t>template</t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</si>
  <si>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</si>
  <si>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</si>
  <si>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</si>
  <si>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</si>
  <si>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</si>
  <si>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</si>
  <si>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</si>
  <si>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</si>
  <si>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</si>
  <si>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</si>
  <si>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</si>
  <si>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/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</si>
  <si>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</si>
  <si>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</si>
  <si>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</si>
  <si>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</si>
  <si>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</si>
  <si>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</si>
  <si>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</si>
  <si>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</si>
  <si>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</si>
  <si>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</si>
  <si>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</si>
  <si>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</si>
  <si>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</si>
  <si>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</si>
  <si>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</si>
  <si>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</si>
  <si>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</si>
  <si>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</si>
  <si>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</si>
  <si>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</si>
  <si>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</si>
  <si>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</si>
  <si>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</si>
  <si>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</si>
  <si>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</si>
  <si>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</si>
  <si>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</si>
  <si>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</si>
  <si>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</si>
  <si>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</si>
  <si>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</si>
  <si>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</si>
  <si>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</si>
  <si>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</si>
  <si>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</si>
  <si>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</si>
  <si>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</si>
  <si>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</si>
  <si>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</si>
  <si>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</si>
  <si>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</si>
  <si>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</si>
  <si>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</si>
  <si>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</si>
  <si>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</si>
  <si>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</si>
  <si>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</si>
  <si>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</si>
  <si>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</si>
  <si>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</si>
  <si>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</si>
  <si>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</si>
  <si>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</si>
  <si>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</si>
  <si>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</si>
  <si>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</si>
  <si>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</si>
  <si>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</si>
  <si>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</si>
  <si>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</si>
  <si>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</si>
  <si>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</si>
  <si>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</si>
  <si>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</si>
  <si>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</si>
  <si>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</si>
  <si>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</si>
  <si>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</si>
  <si>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</si>
  <si>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</si>
  <si>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</si>
  <si>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</si>
  <si>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</si>
  <si>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</si>
  <si>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</si>
  <si>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</si>
  <si>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</si>
  <si>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</si>
  <si>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</si>
  <si>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</si>
  <si>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</si>
  <si>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</si>
  <si>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</si>
  <si>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</si>
  <si>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</si>
  <si>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</si>
  <si>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</si>
  <si>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</si>
  <si>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</si>
  <si>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</si>
  <si>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</si>
  <si>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</si>
  <si>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</si>
  <si>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</si>
  <si>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</si>
  <si>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</si>
  <si>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</si>
  <si>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</si>
  <si>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</si>
  <si>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</si>
  <si>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</si>
  <si>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</si>
  <si>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</si>
  <si>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</si>
  <si>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</si>
  <si>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</si>
  <si>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</si>
  <si>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Prease download latest files from github if you failed this script.</t>
  </si>
  <si>
    <t>https://ssugiya.github.io/Spreadsheetnium/</t>
    <phoneticPr fontId="1"/>
  </si>
  <si>
    <t>https://github.com</t>
  </si>
  <si>
    <t>check latest release</t>
  </si>
  <si>
    <t>checkLatest1</t>
  </si>
  <si>
    <t>/ssugiya/Spreadsheetnium/releases/latest</t>
  </si>
  <si>
    <t>h1.release-title &gt; a</t>
  </si>
  <si>
    <t>checkLatest2</t>
  </si>
  <si>
    <t>v0.0.4</t>
    <phoneticPr fontId="1"/>
  </si>
  <si>
    <t>Opera</t>
  </si>
  <si>
    <t>https://spreadsheetnium.slack.com</t>
  </si>
  <si>
    <t>#email</t>
  </si>
  <si>
    <t>#password</t>
  </si>
  <si>
    <t>#signin_btn</t>
  </si>
  <si>
    <t>#msg_input</t>
  </si>
  <si>
    <t>slack</t>
    <phoneticPr fontId="1"/>
  </si>
  <si>
    <t>mail@example.com</t>
    <phoneticPr fontId="1"/>
  </si>
  <si>
    <t>password</t>
    <phoneticPr fontId="1"/>
  </si>
  <si>
    <t>Redmine</t>
    <phoneticPr fontId="1"/>
  </si>
  <si>
    <t>/redmine/login</t>
    <phoneticPr fontId="1"/>
  </si>
  <si>
    <t>#username</t>
  </si>
  <si>
    <t>[name="login"]</t>
  </si>
  <si>
    <t>/redmine/projects/sandbox/issues/new</t>
    <phoneticPr fontId="1"/>
  </si>
  <si>
    <t>#issue_subject</t>
  </si>
  <si>
    <t>spreadsheetnium test results</t>
    <phoneticPr fontId="1"/>
  </si>
  <si>
    <t>#issue_description</t>
  </si>
  <si>
    <t>[name="commit"]</t>
  </si>
  <si>
    <t>PhantomJS</t>
  </si>
  <si>
    <t>c:\temp\SpreadSheetnium\commandRef</t>
    <phoneticPr fontId="1"/>
  </si>
  <si>
    <t xml:space="preserve">Test title : Spreadsheetnium command reference_x000D_
sheet name : sample_commandReference_x000D_
_x000D_
Not tested : 0_x000D_
Passed : 44_x000D_
Failed: 1_x000D_
Skipped : 0_x000D_
Total : 45_x000D_
Progress rate : 100%_x000D_
_x000D_
_x000D_
_x000D_
</t>
    <phoneticPr fontId="1"/>
  </si>
  <si>
    <t>REPORT_RESULTS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</si>
</sst>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4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9" fillId="0" borderId="0" xfId="0" applyFont="1" applyFill="1" applyBorder="1" applyAlignment="1">
      <alignment vertical="center" shrinkToFit="1"/>
    </xf>
    <xf numFmtId="0" fontId="9" fillId="0" borderId="0" xfId="0" applyFont="1" applyFill="1" applyBorder="1">
      <alignment vertical="center"/>
    </xf>
    <xf numFmtId="177" fontId="9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11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9" fillId="3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8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2" fillId="9" borderId="0" xfId="1" applyFont="1" applyFill="1" applyBorder="1" applyAlignment="1">
      <alignment horizontal="left" vertical="center" indent="1"/>
    </xf>
    <xf numFmtId="0" fontId="9" fillId="11" borderId="0" xfId="0" applyFont="1" applyFill="1" applyBorder="1" applyAlignment="1">
      <alignment vertical="center" shrinkToFit="1"/>
    </xf>
    <xf numFmtId="0" fontId="9" fillId="11" borderId="0" xfId="0" applyFont="1" applyFill="1" applyBorder="1" applyAlignment="1">
      <alignment vertical="center"/>
    </xf>
    <xf numFmtId="0" fontId="9" fillId="11" borderId="0" xfId="0" applyFont="1" applyFill="1" applyBorder="1" applyAlignment="1">
      <alignment vertical="center" wrapText="1" shrinkToFit="1"/>
    </xf>
    <xf numFmtId="0" fontId="3" fillId="0" borderId="0" xfId="1" applyFont="1">
      <alignment vertical="center"/>
    </xf>
  </cellXfs>
  <cellStyles count="2">
    <cellStyle name="ハイパーリンク" xfId="1" builtinId="8"/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4"/>
    </tableStyle>
    <tableStyle name="テーブル スタイル 2" pivot="0" count="1">
      <tableStyleElement type="wholeTable" dxfId="123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8FAC-4470-9C41-07791CC6B049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8FAC-4470-9C41-07791CC6B049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8FAC-4470-9C41-07791CC6B04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8FAC-4470-9C41-07791CC6B049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AC-4470-9C41-07791CC6B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BATCH_RUN!$A$9:$A$12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BATCH_RUN!$B$9:$B$12</c:f>
              <c:numCache>
                <c:formatCode>General</c:formatCode>
                <c:ptCount val="4"/>
                <c:pt idx="0">
                  <c:v>26</c:v>
                </c:pt>
                <c:pt idx="1">
                  <c:v>44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0102-4B56-8A35-1957F9CD7E8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0102-4B56-8A35-1957F9CD7E8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0102-4B56-8A35-1957F9CD7E8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0102-4B56-8A35-1957F9CD7E83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02-4B56-8A35-1957F9CD7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A618-4B86-BD9E-BD5DB7494A69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A618-4B86-BD9E-BD5DB7494A69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A618-4B86-BD9E-BD5DB7494A6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A618-4B86-BD9E-BD5DB7494A69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18-4B86-BD9E-BD5DB74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66D7EAB-FFAC-4FAF-AD08-685272D17658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55BCB468-93BD-46E5-BE54-26BE03A49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A7F5870E-5BEA-4D27-A957-326BB7F414F7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42B2325-0870-4474-A731-A071D0EC73A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0582278" y="161924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71707</xdr:colOff>
      <xdr:row>11</xdr:row>
      <xdr:rowOff>35488</xdr:rowOff>
    </xdr:from>
    <xdr:to>
      <xdr:col>8</xdr:col>
      <xdr:colOff>370226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62534</xdr:colOff>
      <xdr:row>7</xdr:row>
      <xdr:rowOff>111593</xdr:rowOff>
    </xdr:from>
    <xdr:to>
      <xdr:col>8</xdr:col>
      <xdr:colOff>342003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Batch Run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336688</xdr:colOff>
      <xdr:row>6</xdr:row>
      <xdr:rowOff>168137</xdr:rowOff>
    </xdr:from>
    <xdr:to>
      <xdr:col>4</xdr:col>
      <xdr:colOff>335372</xdr:colOff>
      <xdr:row>14</xdr:row>
      <xdr:rowOff>156930</xdr:rowOff>
    </xdr:to>
    <xdr:graphicFrame macro="">
      <xdr:nvGraphicFramePr>
        <xdr:cNvPr id="4" name="resultsGraph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571500</xdr:colOff>
      <xdr:row>7</xdr:row>
      <xdr:rowOff>76200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289DDDDA-A400-473C-AFC8-AEA3D9E28A77}"/>
            </a:ext>
          </a:extLst>
        </xdr:cNvPr>
        <xdr:cNvSpPr txBox="1"/>
      </xdr:nvSpPr>
      <xdr:spPr>
        <a:xfrm>
          <a:off x="8115300" y="1619250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2512270-87BB-44DA-9683-CD5C271347A3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8075118B-6FA4-405B-BE8A-2481AF266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9A30C125-7EAC-415F-BA63-C6E0F3D5E03C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B5E6266E-279D-4530-8DAF-D8BEAC4C4042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FCF8C88-1ADF-46CC-8739-D5DEC9B93EA2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8B7C470F-86F7-4937-A380-0541634F0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EDB168E1-DAF1-4169-9BE5-BD49A8AAE3DF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3A8CFC20-B5EE-41BF-B41F-EFE5DD5B1F31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5" name="TestScriptTable16" displayName="TestScriptTable16" ref="A19:P64" totalsRowShown="0" headerRowDxfId="44" dataDxfId="43" tableBorderDxfId="42">
  <autoFilter ref="A19:P64"/>
  <tableColumns count="16">
    <tableColumn id="1" name="runTarget" dataDxfId="41"/>
    <tableColumn id="2" name="Description" dataDxfId="40"/>
    <tableColumn id="17" name="scriptID" dataDxfId="39"/>
    <tableColumn id="3" name="Command" dataDxfId="38"/>
    <tableColumn id="4" name="FindMethod" dataDxfId="37"/>
    <tableColumn id="5" name="ActionTarget" dataDxfId="36"/>
    <tableColumn id="6" name="ActionValue" dataDxfId="35"/>
    <tableColumn id="7" name="VerificationCommand" dataDxfId="34"/>
    <tableColumn id="8" name="Verificationmethod" dataDxfId="33"/>
    <tableColumn id="9" name="VerificationTarget" dataDxfId="32"/>
    <tableColumn id="10" name="ExpectedResult" dataDxfId="31"/>
    <tableColumn id="11" name="ActualResult" dataDxfId="30"/>
    <tableColumn id="12" name="Result" dataDxfId="53"/>
    <tableColumn id="13" name="LastUpdate" dataDxfId="29"/>
    <tableColumn id="14" name="ErrorMessage" dataDxfId="28"/>
    <tableColumn id="15" name="Memo" dataDxfId="27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6" name="SettingsTable17" displayName="SettingsTable17" ref="A8:B14" totalsRowShown="0" headerRowDxfId="52" dataDxfId="51">
  <autoFilter ref="A8:B14"/>
  <tableColumns count="2">
    <tableColumn id="1" name="Key" dataDxfId="50"/>
    <tableColumn id="2" name="Value" dataDxfId="45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7" name="ResultsSummaryTable18" displayName="ResultsSummaryTable18" ref="D8:E14" totalsRowShown="0" headerRowDxfId="49" dataDxfId="48">
  <autoFilter ref="D8:E14"/>
  <tableColumns count="2">
    <tableColumn id="1" name="Status" dataDxfId="47"/>
    <tableColumn id="2" name="Count" dataDxfId="46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122" dataDxfId="121" tableBorderDxfId="120">
  <autoFilter ref="A19:P29"/>
  <tableColumns count="16">
    <tableColumn id="1" name="runTarget" dataDxfId="119"/>
    <tableColumn id="2" name="Description" dataDxfId="118"/>
    <tableColumn id="17" name="scriptID" dataDxfId="117"/>
    <tableColumn id="3" name="Command" dataDxfId="116"/>
    <tableColumn id="4" name="FindMethod" dataDxfId="115"/>
    <tableColumn id="5" name="ActionTarget" dataDxfId="114"/>
    <tableColumn id="6" name="ActionValue" dataDxfId="113"/>
    <tableColumn id="7" name="VerificationCommand" dataDxfId="112"/>
    <tableColumn id="8" name="Verificationmethod" dataDxfId="111"/>
    <tableColumn id="9" name="VerificationTarget" dataDxfId="110"/>
    <tableColumn id="10" name="ExpectedResult" dataDxfId="109"/>
    <tableColumn id="11" name="ActualResult" dataDxfId="108"/>
    <tableColumn id="12" name="Result" dataDxfId="107"/>
    <tableColumn id="13" name="LastUpdate" dataDxfId="106"/>
    <tableColumn id="14" name="ErrorMessage" dataDxfId="105"/>
    <tableColumn id="15" name="Memo" dataDxfId="104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4" totalsRowShown="0" headerRowDxfId="103" dataDxfId="102">
  <autoFilter ref="A8:B14"/>
  <tableColumns count="2">
    <tableColumn id="1" name="Key" dataDxfId="101"/>
    <tableColumn id="2" name="Value" dataDxfId="100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99" dataDxfId="98">
  <autoFilter ref="D8:E14"/>
  <tableColumns count="2">
    <tableColumn id="1" name="Status" dataDxfId="97"/>
    <tableColumn id="2" name="Count" dataDxfId="96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3" name="batchRunTBL" displayName="batchRunTBL" ref="A17:I20" totalsRowShown="0" headerRowDxfId="95" dataDxfId="94">
  <autoFilter ref="A17:I20"/>
  <tableColumns count="9">
    <tableColumn id="1" name="run target" dataDxfId="93"/>
    <tableColumn id="2" name="SheetName" dataDxfId="92"/>
    <tableColumn id="3" name="Not Tested" dataDxfId="91"/>
    <tableColumn id="4" name="Passed" dataDxfId="90"/>
    <tableColumn id="5" name="Failed" dataDxfId="89"/>
    <tableColumn id="6" name="Skipped" dataDxfId="88"/>
    <tableColumn id="7" name="Total" dataDxfId="87"/>
    <tableColumn id="8" name="Status" dataDxfId="86"/>
    <tableColumn id="9" name="Lastupdate" dataDxfId="85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7" name="テーブル7" displayName="テーブル7" ref="A8:B14" totalsRowShown="0" headerRowDxfId="84" dataDxfId="83">
  <autoFilter ref="A8:B14"/>
  <tableColumns count="2">
    <tableColumn id="1" name="Status" dataDxfId="82"/>
    <tableColumn id="2" name="Count" dataDxfId="81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8" name="TestScriptTable19" displayName="TestScriptTable19" ref="A19:P21" totalsRowShown="0" headerRowDxfId="26" dataDxfId="25" tableBorderDxfId="24">
  <autoFilter ref="A19:P21"/>
  <tableColumns count="16">
    <tableColumn id="1" name="runTarget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9" name="SettingsTable20" displayName="SettingsTable20" ref="A8:B14" totalsRowShown="0" headerRowDxfId="7" dataDxfId="6">
  <autoFilter ref="A8:B14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20" name="ResultsSummaryTable21" displayName="ResultsSummaryTable21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2" name="TestScriptTable3" displayName="TestScriptTable3" ref="A19:P35" totalsRowShown="0" headerRowDxfId="80" dataDxfId="79" tableBorderDxfId="78">
  <autoFilter ref="A19:P35"/>
  <tableColumns count="16">
    <tableColumn id="1" name="runTarget" dataDxfId="77"/>
    <tableColumn id="2" name="Description" dataDxfId="76"/>
    <tableColumn id="17" name="scriptID" dataDxfId="75"/>
    <tableColumn id="3" name="Command" dataDxfId="74"/>
    <tableColumn id="4" name="FindMethod" dataDxfId="73"/>
    <tableColumn id="5" name="ActionTarget" dataDxfId="72"/>
    <tableColumn id="6" name="ActionValue" dataDxfId="71"/>
    <tableColumn id="7" name="VerificationCommand" dataDxfId="70"/>
    <tableColumn id="8" name="Verificationmethod" dataDxfId="69"/>
    <tableColumn id="9" name="VerificationTarget" dataDxfId="68"/>
    <tableColumn id="10" name="ExpectedResult" dataDxfId="67"/>
    <tableColumn id="11" name="ActualResult" dataDxfId="66"/>
    <tableColumn id="12" name="Result" dataDxfId="65"/>
    <tableColumn id="13" name="LastUpdate" dataDxfId="64"/>
    <tableColumn id="14" name="ErrorMessage" dataDxfId="63"/>
    <tableColumn id="15" name="Memo" dataDxfId="62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3" name="SettingsTable4" displayName="SettingsTable4" ref="A8:B14" totalsRowShown="0" headerRowDxfId="61" dataDxfId="60">
  <autoFilter ref="A8:B14"/>
  <tableColumns count="2">
    <tableColumn id="1" name="Key" dataDxfId="59"/>
    <tableColumn id="2" name="Value" dataDxfId="58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6" name="ResultsSummaryTable7" displayName="ResultsSummaryTable7" ref="D8:E14" totalsRowShown="0" headerRowDxfId="57" dataDxfId="56">
  <autoFilter ref="D8:E14"/>
  <tableColumns count="2">
    <tableColumn id="1" name="Status" dataDxfId="55"/>
    <tableColumn id="2" name="Count" dataDxfId="5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244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2" customFormat="1" ht="31.5" x14ac:dyDescent="0.15">
      <c r="A1" s="41" t="s">
        <v>113</v>
      </c>
      <c r="N1" s="43"/>
    </row>
    <row r="2" spans="1:15" s="42" customFormat="1" x14ac:dyDescent="0.15">
      <c r="A2" s="44" t="s">
        <v>122</v>
      </c>
      <c r="N2" s="45"/>
    </row>
    <row r="3" spans="1:15" s="42" customFormat="1" x14ac:dyDescent="0.15">
      <c r="A3" s="44" t="s">
        <v>121</v>
      </c>
      <c r="N3" s="45"/>
    </row>
    <row r="4" spans="1:15" s="42" customFormat="1" x14ac:dyDescent="0.15">
      <c r="A4" s="44" t="s">
        <v>123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2">
        <f>E13-SUM(E10:E12)</f>
        <v>45</v>
      </c>
      <c r="M9" s="2"/>
      <c r="N9" s="1"/>
    </row>
    <row r="10" spans="1:15" x14ac:dyDescent="0.15">
      <c r="A10" s="6" t="s">
        <v>11</v>
      </c>
      <c r="B10" s="19" t="s">
        <v>47</v>
      </c>
      <c r="D10" s="6" t="s">
        <v>4</v>
      </c>
      <c r="E10" s="24">
        <f>COUNTIF(TestScriptTable16[Result],"Passed")</f>
        <v>0</v>
      </c>
      <c r="M10" s="2"/>
      <c r="N10" s="1"/>
    </row>
    <row r="11" spans="1:15" x14ac:dyDescent="0.15">
      <c r="A11" s="6" t="s">
        <v>80</v>
      </c>
      <c r="B11" s="1">
        <v>1366</v>
      </c>
      <c r="D11" s="6" t="s">
        <v>5</v>
      </c>
      <c r="E11" s="23">
        <f>COUNTIF(TestScriptTable16[Result],"Failed")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1">
        <f>COUNTIF(TestScriptTable16[Result],"Skipped*")</f>
        <v>0</v>
      </c>
      <c r="M12" s="2"/>
      <c r="N12" s="1"/>
    </row>
    <row r="13" spans="1:15" x14ac:dyDescent="0.15">
      <c r="A13" s="6" t="s">
        <v>29</v>
      </c>
      <c r="B13" s="1" t="s">
        <v>265</v>
      </c>
      <c r="D13" s="6" t="s">
        <v>6</v>
      </c>
      <c r="E13" s="8">
        <f>COUNTA(TestScriptTable16[runTarget])+COUNTBLANK(TestScriptTable16[runTarget])</f>
        <v>45</v>
      </c>
      <c r="M13" s="2"/>
      <c r="N13" s="1"/>
    </row>
    <row r="14" spans="1:15" x14ac:dyDescent="0.15">
      <c r="A14" s="6" t="s">
        <v>75</v>
      </c>
      <c r="B14" s="1" t="s">
        <v>76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3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 t="s">
        <v>76</v>
      </c>
      <c r="B20" s="1" t="s">
        <v>130</v>
      </c>
      <c r="C20" s="1" t="s">
        <v>131</v>
      </c>
      <c r="D20" s="5" t="s">
        <v>37</v>
      </c>
      <c r="E20" s="5"/>
      <c r="F20" s="5" t="s">
        <v>132</v>
      </c>
      <c r="G20" s="5"/>
      <c r="H20" s="5" t="s">
        <v>42</v>
      </c>
      <c r="I20" s="5"/>
      <c r="J20" s="5"/>
      <c r="K20" s="5" t="s">
        <v>71</v>
      </c>
      <c r="L20" s="5"/>
      <c r="M20"/>
      <c r="N20" s="4"/>
      <c r="O20" s="5"/>
    </row>
    <row r="21" spans="1:16" ht="21.75" customHeight="1" x14ac:dyDescent="0.15">
      <c r="A21" s="26" t="s">
        <v>76</v>
      </c>
      <c r="B21" s="1" t="s">
        <v>133</v>
      </c>
      <c r="C21" s="15" t="s">
        <v>134</v>
      </c>
      <c r="D21" s="5" t="s">
        <v>39</v>
      </c>
      <c r="E21" s="5" t="s">
        <v>49</v>
      </c>
      <c r="F21" s="5" t="s">
        <v>135</v>
      </c>
      <c r="G21" s="5"/>
      <c r="H21" s="5" t="s">
        <v>42</v>
      </c>
      <c r="I21" s="5"/>
      <c r="J21" s="5"/>
      <c r="K21" s="5" t="s">
        <v>85</v>
      </c>
      <c r="L21" s="5"/>
      <c r="M21"/>
      <c r="N21" s="4"/>
      <c r="O21" s="5"/>
    </row>
    <row r="22" spans="1:16" ht="21.75" customHeight="1" x14ac:dyDescent="0.15">
      <c r="A22" s="26" t="s">
        <v>76</v>
      </c>
      <c r="B22" s="1" t="s">
        <v>133</v>
      </c>
      <c r="C22" s="15" t="s">
        <v>136</v>
      </c>
      <c r="D22" s="5" t="s">
        <v>39</v>
      </c>
      <c r="E22" s="5" t="s">
        <v>31</v>
      </c>
      <c r="F22" s="5" t="s">
        <v>137</v>
      </c>
      <c r="G22" s="5"/>
      <c r="H22" s="5" t="s">
        <v>42</v>
      </c>
      <c r="I22" s="5"/>
      <c r="J22" s="5"/>
      <c r="K22" s="5" t="s">
        <v>91</v>
      </c>
      <c r="L22" s="5"/>
      <c r="M22"/>
      <c r="N22" s="4"/>
      <c r="O22" s="5"/>
    </row>
    <row r="23" spans="1:16" ht="21.75" customHeight="1" x14ac:dyDescent="0.15">
      <c r="A23" s="26" t="s">
        <v>76</v>
      </c>
      <c r="B23" s="1" t="s">
        <v>133</v>
      </c>
      <c r="C23" s="15" t="s">
        <v>138</v>
      </c>
      <c r="D23" s="5" t="s">
        <v>39</v>
      </c>
      <c r="E23" s="5" t="s">
        <v>52</v>
      </c>
      <c r="F23" s="5" t="s">
        <v>139</v>
      </c>
      <c r="G23" s="5"/>
      <c r="H23" s="5" t="s">
        <v>42</v>
      </c>
      <c r="I23" s="5"/>
      <c r="J23" s="5"/>
      <c r="K23" s="5" t="s">
        <v>86</v>
      </c>
      <c r="L23" s="5"/>
      <c r="M23"/>
      <c r="N23" s="4"/>
      <c r="O23" s="5"/>
    </row>
    <row r="24" spans="1:16" ht="21.75" customHeight="1" x14ac:dyDescent="0.15">
      <c r="A24" s="26" t="s">
        <v>76</v>
      </c>
      <c r="B24" s="1" t="s">
        <v>133</v>
      </c>
      <c r="C24" s="15" t="s">
        <v>140</v>
      </c>
      <c r="D24" s="5" t="s">
        <v>39</v>
      </c>
      <c r="E24" s="5" t="s">
        <v>82</v>
      </c>
      <c r="F24" s="5" t="s">
        <v>141</v>
      </c>
      <c r="G24" s="5"/>
      <c r="H24" s="5" t="s">
        <v>42</v>
      </c>
      <c r="I24" s="5"/>
      <c r="J24" s="5"/>
      <c r="K24" s="5" t="s">
        <v>71</v>
      </c>
      <c r="L24" s="5"/>
      <c r="M24"/>
      <c r="N24" s="4"/>
      <c r="O24" s="5"/>
    </row>
    <row r="25" spans="1:16" ht="21.75" customHeight="1" x14ac:dyDescent="0.15">
      <c r="A25" s="26" t="s">
        <v>76</v>
      </c>
      <c r="B25" s="1" t="s">
        <v>133</v>
      </c>
      <c r="C25" s="15" t="s">
        <v>142</v>
      </c>
      <c r="D25" s="5" t="s">
        <v>39</v>
      </c>
      <c r="E25" s="5" t="s">
        <v>72</v>
      </c>
      <c r="F25" s="5" t="s">
        <v>143</v>
      </c>
      <c r="G25" s="5"/>
      <c r="H25" s="5" t="s">
        <v>42</v>
      </c>
      <c r="I25" s="5"/>
      <c r="J25" s="5"/>
      <c r="K25" s="5" t="s">
        <v>71</v>
      </c>
      <c r="L25" s="5"/>
      <c r="M25"/>
      <c r="N25" s="4"/>
      <c r="O25" s="5"/>
    </row>
    <row r="26" spans="1:16" ht="21.75" customHeight="1" x14ac:dyDescent="0.15">
      <c r="A26" s="26" t="s">
        <v>76</v>
      </c>
      <c r="B26" s="1" t="s">
        <v>144</v>
      </c>
      <c r="C26" s="15" t="s">
        <v>145</v>
      </c>
      <c r="D26" s="5" t="s">
        <v>69</v>
      </c>
      <c r="E26" s="5"/>
      <c r="F26" s="5"/>
      <c r="G26" s="5"/>
      <c r="H26" s="5" t="s">
        <v>42</v>
      </c>
      <c r="I26" s="5"/>
      <c r="J26" s="5"/>
      <c r="K26" s="5" t="s">
        <v>86</v>
      </c>
      <c r="L26" s="5"/>
      <c r="M26"/>
      <c r="N26" s="4"/>
      <c r="O26" s="5"/>
    </row>
    <row r="27" spans="1:16" ht="21.75" customHeight="1" x14ac:dyDescent="0.15">
      <c r="A27" s="26" t="s">
        <v>76</v>
      </c>
      <c r="B27" s="1" t="s">
        <v>130</v>
      </c>
      <c r="C27" s="15" t="s">
        <v>146</v>
      </c>
      <c r="D27" s="5" t="s">
        <v>37</v>
      </c>
      <c r="E27" s="5"/>
      <c r="F27" s="5" t="s">
        <v>132</v>
      </c>
      <c r="G27" s="5"/>
      <c r="H27" s="5" t="s">
        <v>41</v>
      </c>
      <c r="I27" s="5"/>
      <c r="J27" s="5"/>
      <c r="K27" s="5" t="s">
        <v>87</v>
      </c>
      <c r="L27" s="5"/>
      <c r="M27"/>
      <c r="N27" s="4"/>
      <c r="O27" s="5"/>
    </row>
    <row r="28" spans="1:16" ht="21.75" customHeight="1" x14ac:dyDescent="0.15">
      <c r="A28" s="26" t="s">
        <v>76</v>
      </c>
      <c r="B28" s="1" t="s">
        <v>147</v>
      </c>
      <c r="C28" s="15" t="s">
        <v>148</v>
      </c>
      <c r="D28" s="5" t="s">
        <v>54</v>
      </c>
      <c r="E28" s="5" t="s">
        <v>49</v>
      </c>
      <c r="F28" s="5" t="s">
        <v>149</v>
      </c>
      <c r="G28" s="5"/>
      <c r="H28" s="5" t="s">
        <v>41</v>
      </c>
      <c r="I28" s="5"/>
      <c r="J28" s="5"/>
      <c r="K28" s="5" t="s">
        <v>87</v>
      </c>
      <c r="L28" s="5"/>
      <c r="M28"/>
      <c r="N28" s="4"/>
      <c r="O28" s="5"/>
    </row>
    <row r="29" spans="1:16" ht="21.75" customHeight="1" x14ac:dyDescent="0.15">
      <c r="A29" s="26" t="s">
        <v>76</v>
      </c>
      <c r="B29" s="1" t="s">
        <v>147</v>
      </c>
      <c r="C29" s="15" t="s">
        <v>150</v>
      </c>
      <c r="D29" s="5" t="s">
        <v>54</v>
      </c>
      <c r="E29" s="5" t="s">
        <v>31</v>
      </c>
      <c r="F29" s="5" t="s">
        <v>151</v>
      </c>
      <c r="G29" s="5"/>
      <c r="H29" s="5" t="s">
        <v>41</v>
      </c>
      <c r="I29" s="5"/>
      <c r="J29" s="5"/>
      <c r="K29" s="5" t="s">
        <v>87</v>
      </c>
      <c r="L29" s="5"/>
      <c r="M29"/>
      <c r="N29" s="4"/>
      <c r="O29" s="5"/>
    </row>
    <row r="30" spans="1:16" ht="21.75" customHeight="1" x14ac:dyDescent="0.15">
      <c r="A30" s="26" t="s">
        <v>76</v>
      </c>
      <c r="B30" s="1" t="s">
        <v>147</v>
      </c>
      <c r="C30" s="15" t="s">
        <v>152</v>
      </c>
      <c r="D30" s="5" t="s">
        <v>54</v>
      </c>
      <c r="E30" s="5" t="s">
        <v>82</v>
      </c>
      <c r="F30" s="5" t="s">
        <v>153</v>
      </c>
      <c r="G30" s="5"/>
      <c r="H30" s="5" t="s">
        <v>41</v>
      </c>
      <c r="I30" s="5"/>
      <c r="J30" s="5"/>
      <c r="K30" s="5" t="s">
        <v>87</v>
      </c>
      <c r="L30" s="5"/>
      <c r="M30"/>
      <c r="N30" s="4"/>
      <c r="O30" s="5"/>
    </row>
    <row r="31" spans="1:16" ht="21.75" customHeight="1" x14ac:dyDescent="0.15">
      <c r="A31" s="26" t="s">
        <v>76</v>
      </c>
      <c r="B31" s="1" t="s">
        <v>147</v>
      </c>
      <c r="C31" s="15" t="s">
        <v>154</v>
      </c>
      <c r="D31" s="5" t="s">
        <v>54</v>
      </c>
      <c r="E31" s="5" t="s">
        <v>72</v>
      </c>
      <c r="F31" s="5" t="s">
        <v>143</v>
      </c>
      <c r="G31" s="5"/>
      <c r="H31" s="5" t="s">
        <v>41</v>
      </c>
      <c r="I31" s="5"/>
      <c r="J31" s="5"/>
      <c r="K31" s="5" t="s">
        <v>87</v>
      </c>
      <c r="L31" s="5"/>
      <c r="M31"/>
      <c r="N31" s="4"/>
      <c r="O31" s="5"/>
    </row>
    <row r="32" spans="1:16" ht="21.75" customHeight="1" x14ac:dyDescent="0.15">
      <c r="A32" s="26" t="s">
        <v>76</v>
      </c>
      <c r="B32" s="1" t="s">
        <v>155</v>
      </c>
      <c r="C32" s="15" t="s">
        <v>156</v>
      </c>
      <c r="D32" s="5" t="s">
        <v>70</v>
      </c>
      <c r="E32" s="5" t="s">
        <v>49</v>
      </c>
      <c r="F32" s="5" t="s">
        <v>157</v>
      </c>
      <c r="G32" s="5" t="s">
        <v>158</v>
      </c>
      <c r="H32" s="5" t="s">
        <v>41</v>
      </c>
      <c r="I32" s="5"/>
      <c r="J32" s="5"/>
      <c r="K32" s="5" t="s">
        <v>87</v>
      </c>
      <c r="L32" s="5"/>
      <c r="M32"/>
      <c r="N32" s="4"/>
      <c r="O32" s="5"/>
    </row>
    <row r="33" spans="1:15" ht="21.75" customHeight="1" x14ac:dyDescent="0.15">
      <c r="A33" s="26" t="s">
        <v>76</v>
      </c>
      <c r="B33" s="1" t="s">
        <v>155</v>
      </c>
      <c r="C33" s="15" t="s">
        <v>159</v>
      </c>
      <c r="D33" s="5" t="s">
        <v>70</v>
      </c>
      <c r="E33" s="5" t="s">
        <v>31</v>
      </c>
      <c r="F33" s="5" t="s">
        <v>160</v>
      </c>
      <c r="G33" s="5" t="s">
        <v>88</v>
      </c>
      <c r="H33" s="5" t="s">
        <v>41</v>
      </c>
      <c r="I33" s="5"/>
      <c r="J33" s="5"/>
      <c r="K33" s="5" t="s">
        <v>87</v>
      </c>
      <c r="L33" s="5"/>
      <c r="M33"/>
      <c r="N33" s="4"/>
      <c r="O33" s="5"/>
    </row>
    <row r="34" spans="1:15" ht="21.75" customHeight="1" x14ac:dyDescent="0.15">
      <c r="A34" s="26" t="s">
        <v>76</v>
      </c>
      <c r="B34" s="1" t="s">
        <v>155</v>
      </c>
      <c r="C34" s="15" t="s">
        <v>161</v>
      </c>
      <c r="D34" s="5" t="s">
        <v>70</v>
      </c>
      <c r="E34" s="5" t="s">
        <v>82</v>
      </c>
      <c r="F34" s="5" t="s">
        <v>162</v>
      </c>
      <c r="G34" s="5" t="s">
        <v>89</v>
      </c>
      <c r="H34" s="5" t="s">
        <v>41</v>
      </c>
      <c r="I34" s="5"/>
      <c r="J34" s="5"/>
      <c r="K34" s="5" t="s">
        <v>87</v>
      </c>
      <c r="L34" s="5"/>
      <c r="M34"/>
      <c r="N34" s="4"/>
      <c r="O34" s="5"/>
    </row>
    <row r="35" spans="1:15" ht="21.75" customHeight="1" x14ac:dyDescent="0.15">
      <c r="A35" s="26" t="s">
        <v>76</v>
      </c>
      <c r="B35" s="1" t="s">
        <v>155</v>
      </c>
      <c r="C35" s="15" t="s">
        <v>163</v>
      </c>
      <c r="D35" s="5" t="s">
        <v>70</v>
      </c>
      <c r="E35" s="5" t="s">
        <v>72</v>
      </c>
      <c r="F35" s="5" t="s">
        <v>164</v>
      </c>
      <c r="G35" s="5" t="s">
        <v>90</v>
      </c>
      <c r="H35" s="5" t="s">
        <v>41</v>
      </c>
      <c r="I35" s="5"/>
      <c r="J35" s="5"/>
      <c r="K35" s="5" t="s">
        <v>87</v>
      </c>
      <c r="L35" s="5"/>
      <c r="M35"/>
      <c r="N35" s="4"/>
      <c r="O35" s="5"/>
    </row>
    <row r="36" spans="1:15" ht="21.75" customHeight="1" x14ac:dyDescent="0.15">
      <c r="A36" s="26" t="s">
        <v>76</v>
      </c>
      <c r="B36" s="1" t="s">
        <v>130</v>
      </c>
      <c r="C36" s="15" t="s">
        <v>165</v>
      </c>
      <c r="D36" s="5" t="s">
        <v>37</v>
      </c>
      <c r="E36" s="5"/>
      <c r="F36" s="5" t="s">
        <v>166</v>
      </c>
      <c r="G36" s="5"/>
      <c r="H36" s="5" t="s">
        <v>42</v>
      </c>
      <c r="I36" s="5"/>
      <c r="J36" s="5"/>
      <c r="K36" s="5" t="s">
        <v>167</v>
      </c>
      <c r="L36" s="5"/>
      <c r="M36"/>
      <c r="N36" s="4"/>
      <c r="O36" s="5"/>
    </row>
    <row r="37" spans="1:15" ht="21.75" customHeight="1" x14ac:dyDescent="0.15">
      <c r="A37" s="26" t="s">
        <v>76</v>
      </c>
      <c r="B37" s="1" t="s">
        <v>155</v>
      </c>
      <c r="C37" s="15" t="s">
        <v>168</v>
      </c>
      <c r="D37" s="5" t="s">
        <v>70</v>
      </c>
      <c r="E37" s="5" t="s">
        <v>49</v>
      </c>
      <c r="F37" s="5" t="s">
        <v>169</v>
      </c>
      <c r="G37" s="5" t="s">
        <v>170</v>
      </c>
      <c r="H37" s="5" t="s">
        <v>42</v>
      </c>
      <c r="I37" s="5"/>
      <c r="J37" s="5"/>
      <c r="K37" s="5" t="s">
        <v>167</v>
      </c>
      <c r="L37" s="5"/>
      <c r="M37"/>
      <c r="N37" s="4"/>
      <c r="O37" s="5"/>
    </row>
    <row r="38" spans="1:15" ht="21.75" customHeight="1" x14ac:dyDescent="0.15">
      <c r="A38" s="26" t="s">
        <v>76</v>
      </c>
      <c r="B38" s="1" t="s">
        <v>155</v>
      </c>
      <c r="C38" s="15" t="s">
        <v>171</v>
      </c>
      <c r="D38" s="5" t="s">
        <v>39</v>
      </c>
      <c r="E38" s="5" t="s">
        <v>49</v>
      </c>
      <c r="F38" s="5" t="s">
        <v>172</v>
      </c>
      <c r="G38" s="5"/>
      <c r="H38" s="5" t="s">
        <v>42</v>
      </c>
      <c r="I38" s="5"/>
      <c r="J38" s="5"/>
      <c r="K38" s="5" t="s">
        <v>167</v>
      </c>
      <c r="L38" s="5"/>
      <c r="M38"/>
      <c r="N38" s="4"/>
      <c r="O38" s="5"/>
    </row>
    <row r="39" spans="1:15" ht="21.75" customHeight="1" x14ac:dyDescent="0.15">
      <c r="A39" s="26" t="s">
        <v>76</v>
      </c>
      <c r="B39" s="1" t="s">
        <v>173</v>
      </c>
      <c r="C39" s="15" t="s">
        <v>174</v>
      </c>
      <c r="D39" s="5" t="s">
        <v>83</v>
      </c>
      <c r="E39" s="5" t="s">
        <v>49</v>
      </c>
      <c r="F39" s="5" t="s">
        <v>175</v>
      </c>
      <c r="G39" s="5"/>
      <c r="H39" s="5" t="s">
        <v>42</v>
      </c>
      <c r="I39" s="5"/>
      <c r="J39" s="5"/>
      <c r="K39" s="5" t="s">
        <v>167</v>
      </c>
      <c r="L39" s="5"/>
      <c r="M39"/>
      <c r="N39" s="4"/>
      <c r="O39" s="5"/>
    </row>
    <row r="40" spans="1:15" ht="21.75" customHeight="1" x14ac:dyDescent="0.15">
      <c r="A40" s="26" t="s">
        <v>76</v>
      </c>
      <c r="B40" s="1" t="s">
        <v>173</v>
      </c>
      <c r="C40" s="15" t="s">
        <v>176</v>
      </c>
      <c r="D40" s="5" t="s">
        <v>83</v>
      </c>
      <c r="E40" s="5" t="s">
        <v>31</v>
      </c>
      <c r="F40" s="5" t="s">
        <v>177</v>
      </c>
      <c r="G40" s="5"/>
      <c r="H40" s="5" t="s">
        <v>42</v>
      </c>
      <c r="I40" s="5"/>
      <c r="J40" s="5"/>
      <c r="K40" s="5" t="s">
        <v>167</v>
      </c>
      <c r="L40" s="5"/>
      <c r="M40"/>
      <c r="N40" s="4"/>
      <c r="O40" s="5"/>
    </row>
    <row r="41" spans="1:15" ht="21.75" customHeight="1" x14ac:dyDescent="0.15">
      <c r="A41" s="26" t="s">
        <v>76</v>
      </c>
      <c r="B41" s="1" t="s">
        <v>173</v>
      </c>
      <c r="C41" s="15" t="s">
        <v>178</v>
      </c>
      <c r="D41" s="5" t="s">
        <v>83</v>
      </c>
      <c r="E41" s="5" t="s">
        <v>82</v>
      </c>
      <c r="F41" s="5" t="s">
        <v>179</v>
      </c>
      <c r="G41" s="5">
        <v>2</v>
      </c>
      <c r="H41" s="5" t="s">
        <v>42</v>
      </c>
      <c r="I41" s="5"/>
      <c r="J41" s="5"/>
      <c r="K41" s="5" t="s">
        <v>167</v>
      </c>
      <c r="L41" s="5"/>
      <c r="M41"/>
      <c r="N41" s="4"/>
      <c r="O41" s="5"/>
    </row>
    <row r="42" spans="1:15" ht="21.75" customHeight="1" x14ac:dyDescent="0.15">
      <c r="A42" s="26" t="s">
        <v>76</v>
      </c>
      <c r="B42" s="1" t="s">
        <v>173</v>
      </c>
      <c r="C42" s="15" t="s">
        <v>180</v>
      </c>
      <c r="D42" s="5" t="s">
        <v>83</v>
      </c>
      <c r="E42" s="5" t="s">
        <v>72</v>
      </c>
      <c r="F42" s="5" t="s">
        <v>181</v>
      </c>
      <c r="G42" s="5"/>
      <c r="H42" s="5" t="s">
        <v>42</v>
      </c>
      <c r="I42" s="5"/>
      <c r="J42" s="5"/>
      <c r="K42" s="5" t="s">
        <v>167</v>
      </c>
      <c r="L42" s="5"/>
      <c r="M42"/>
      <c r="N42" s="4"/>
      <c r="O42" s="5"/>
    </row>
    <row r="43" spans="1:15" ht="21.75" customHeight="1" x14ac:dyDescent="0.15">
      <c r="A43" s="26" t="s">
        <v>76</v>
      </c>
      <c r="B43" s="1" t="s">
        <v>182</v>
      </c>
      <c r="C43" s="15" t="s">
        <v>183</v>
      </c>
      <c r="D43" s="5" t="s">
        <v>35</v>
      </c>
      <c r="E43" s="5" t="s">
        <v>49</v>
      </c>
      <c r="F43" s="5" t="s">
        <v>92</v>
      </c>
      <c r="G43" s="5" t="s">
        <v>184</v>
      </c>
      <c r="H43" s="5" t="s">
        <v>41</v>
      </c>
      <c r="I43" s="5"/>
      <c r="J43" s="5"/>
      <c r="K43" s="5" t="s">
        <v>93</v>
      </c>
      <c r="L43" s="5"/>
      <c r="M43"/>
      <c r="N43" s="4"/>
      <c r="O43" s="5"/>
    </row>
    <row r="44" spans="1:15" ht="21.75" customHeight="1" x14ac:dyDescent="0.15">
      <c r="A44" s="26" t="s">
        <v>76</v>
      </c>
      <c r="B44" s="1" t="s">
        <v>182</v>
      </c>
      <c r="C44" s="15" t="s">
        <v>185</v>
      </c>
      <c r="D44" s="5" t="s">
        <v>35</v>
      </c>
      <c r="E44" s="5" t="s">
        <v>31</v>
      </c>
      <c r="F44" s="5" t="s">
        <v>186</v>
      </c>
      <c r="G44" s="5" t="s">
        <v>187</v>
      </c>
      <c r="H44" s="5" t="s">
        <v>41</v>
      </c>
      <c r="I44" s="5"/>
      <c r="J44" s="5"/>
      <c r="K44" s="5" t="s">
        <v>93</v>
      </c>
      <c r="L44" s="5"/>
      <c r="M44"/>
      <c r="N44" s="4"/>
      <c r="O44" s="5"/>
    </row>
    <row r="45" spans="1:15" ht="21.75" customHeight="1" x14ac:dyDescent="0.15">
      <c r="A45" s="26" t="s">
        <v>76</v>
      </c>
      <c r="B45" s="1" t="s">
        <v>182</v>
      </c>
      <c r="C45" s="15" t="s">
        <v>188</v>
      </c>
      <c r="D45" s="5" t="s">
        <v>35</v>
      </c>
      <c r="E45" s="5" t="s">
        <v>82</v>
      </c>
      <c r="F45" s="5" t="s">
        <v>189</v>
      </c>
      <c r="G45" s="5" t="s">
        <v>190</v>
      </c>
      <c r="H45" s="5" t="s">
        <v>41</v>
      </c>
      <c r="I45" s="5"/>
      <c r="J45" s="5"/>
      <c r="K45" s="5" t="s">
        <v>93</v>
      </c>
      <c r="L45" s="5"/>
      <c r="M45"/>
      <c r="N45" s="4"/>
      <c r="O45" s="5"/>
    </row>
    <row r="46" spans="1:15" ht="21.75" customHeight="1" x14ac:dyDescent="0.15">
      <c r="A46" s="26" t="s">
        <v>76</v>
      </c>
      <c r="B46" s="1" t="s">
        <v>182</v>
      </c>
      <c r="C46" s="15" t="s">
        <v>191</v>
      </c>
      <c r="D46" s="5" t="s">
        <v>35</v>
      </c>
      <c r="E46" s="5" t="s">
        <v>72</v>
      </c>
      <c r="F46" s="5" t="s">
        <v>192</v>
      </c>
      <c r="G46" s="5" t="s">
        <v>193</v>
      </c>
      <c r="H46" s="5" t="s">
        <v>41</v>
      </c>
      <c r="I46" s="5"/>
      <c r="J46" s="5"/>
      <c r="K46" s="5" t="s">
        <v>93</v>
      </c>
      <c r="L46" s="5"/>
      <c r="M46"/>
      <c r="N46" s="4"/>
      <c r="O46" s="5"/>
    </row>
    <row r="47" spans="1:15" ht="21.75" customHeight="1" x14ac:dyDescent="0.15">
      <c r="A47" s="26" t="s">
        <v>76</v>
      </c>
      <c r="B47" s="1" t="s">
        <v>130</v>
      </c>
      <c r="C47" s="15" t="s">
        <v>194</v>
      </c>
      <c r="D47" s="5" t="s">
        <v>37</v>
      </c>
      <c r="E47" s="5"/>
      <c r="F47" s="5" t="s">
        <v>132</v>
      </c>
      <c r="G47" s="5"/>
      <c r="H47" s="5" t="s">
        <v>41</v>
      </c>
      <c r="I47" s="5"/>
      <c r="J47" s="5"/>
      <c r="K47" s="5" t="s">
        <v>87</v>
      </c>
      <c r="L47" s="5"/>
      <c r="M47"/>
      <c r="N47" s="4"/>
      <c r="O47" s="5"/>
    </row>
    <row r="48" spans="1:15" ht="21.75" customHeight="1" x14ac:dyDescent="0.15">
      <c r="A48" s="26" t="s">
        <v>76</v>
      </c>
      <c r="B48" s="1" t="s">
        <v>195</v>
      </c>
      <c r="C48" s="15" t="s">
        <v>196</v>
      </c>
      <c r="D48" s="5" t="s">
        <v>84</v>
      </c>
      <c r="E48" s="5"/>
      <c r="F48" s="5" t="s">
        <v>197</v>
      </c>
      <c r="G48" s="5" t="s">
        <v>198</v>
      </c>
      <c r="H48" s="5" t="s">
        <v>42</v>
      </c>
      <c r="I48" s="5"/>
      <c r="J48" s="5"/>
      <c r="K48" s="5" t="s">
        <v>71</v>
      </c>
      <c r="L48" s="5"/>
      <c r="M48"/>
      <c r="N48" s="4"/>
      <c r="O48" s="5"/>
    </row>
    <row r="49" spans="1:15" ht="21.75" customHeight="1" x14ac:dyDescent="0.15">
      <c r="A49" s="26" t="s">
        <v>76</v>
      </c>
      <c r="B49" s="1" t="s">
        <v>195</v>
      </c>
      <c r="C49" s="15" t="s">
        <v>199</v>
      </c>
      <c r="D49" s="5" t="s">
        <v>84</v>
      </c>
      <c r="E49" s="5"/>
      <c r="F49" s="5" t="s">
        <v>197</v>
      </c>
      <c r="G49" s="5" t="s">
        <v>200</v>
      </c>
      <c r="H49" s="5" t="s">
        <v>42</v>
      </c>
      <c r="I49" s="5"/>
      <c r="J49" s="5"/>
      <c r="K49" s="5" t="s">
        <v>71</v>
      </c>
      <c r="L49" s="5"/>
      <c r="M49"/>
      <c r="N49" s="4"/>
      <c r="O49" s="5"/>
    </row>
    <row r="50" spans="1:15" ht="21.75" customHeight="1" x14ac:dyDescent="0.15">
      <c r="A50" s="26" t="s">
        <v>76</v>
      </c>
      <c r="B50" s="1" t="s">
        <v>195</v>
      </c>
      <c r="C50" s="15" t="s">
        <v>201</v>
      </c>
      <c r="D50" s="5" t="s">
        <v>84</v>
      </c>
      <c r="E50" s="5"/>
      <c r="F50" s="5" t="s">
        <v>197</v>
      </c>
      <c r="G50" s="5" t="s">
        <v>202</v>
      </c>
      <c r="H50" s="5" t="s">
        <v>42</v>
      </c>
      <c r="I50" s="5"/>
      <c r="J50" s="5"/>
      <c r="K50" s="5" t="s">
        <v>71</v>
      </c>
      <c r="L50" s="5"/>
      <c r="M50"/>
      <c r="N50" s="4"/>
      <c r="O50" s="5"/>
    </row>
    <row r="51" spans="1:15" ht="21.75" customHeight="1" x14ac:dyDescent="0.15">
      <c r="A51" s="26" t="s">
        <v>76</v>
      </c>
      <c r="B51" s="1" t="s">
        <v>195</v>
      </c>
      <c r="C51" s="15" t="s">
        <v>203</v>
      </c>
      <c r="D51" s="5" t="s">
        <v>84</v>
      </c>
      <c r="E51" s="5"/>
      <c r="F51" s="5" t="s">
        <v>197</v>
      </c>
      <c r="G51" s="5" t="s">
        <v>204</v>
      </c>
      <c r="H51" s="5" t="s">
        <v>42</v>
      </c>
      <c r="I51" s="5"/>
      <c r="J51" s="5"/>
      <c r="K51" s="5" t="s">
        <v>71</v>
      </c>
      <c r="L51" s="5"/>
      <c r="M51"/>
      <c r="N51" s="4"/>
      <c r="O51" s="5"/>
    </row>
    <row r="52" spans="1:15" ht="21.75" customHeight="1" x14ac:dyDescent="0.15">
      <c r="A52" s="26" t="s">
        <v>76</v>
      </c>
      <c r="B52" s="1" t="s">
        <v>130</v>
      </c>
      <c r="C52" s="15" t="s">
        <v>205</v>
      </c>
      <c r="D52" s="5" t="s">
        <v>37</v>
      </c>
      <c r="E52" s="5"/>
      <c r="F52" s="5" t="s">
        <v>206</v>
      </c>
      <c r="G52" s="5"/>
      <c r="H52" s="5" t="s">
        <v>42</v>
      </c>
      <c r="I52" s="5"/>
      <c r="J52" s="5"/>
      <c r="K52" s="5" t="s">
        <v>95</v>
      </c>
      <c r="L52" s="5"/>
      <c r="M52"/>
      <c r="N52" s="4"/>
      <c r="O52" s="5"/>
    </row>
    <row r="53" spans="1:15" ht="21.75" customHeight="1" x14ac:dyDescent="0.15">
      <c r="A53" s="26" t="s">
        <v>76</v>
      </c>
      <c r="B53" s="1" t="s">
        <v>207</v>
      </c>
      <c r="C53" s="15" t="s">
        <v>208</v>
      </c>
      <c r="D53" s="5" t="s">
        <v>48</v>
      </c>
      <c r="E53" s="5"/>
      <c r="F53" s="5"/>
      <c r="G53" s="5">
        <v>0</v>
      </c>
      <c r="H53" s="5" t="s">
        <v>43</v>
      </c>
      <c r="I53" s="5" t="s">
        <v>49</v>
      </c>
      <c r="J53" s="5" t="s">
        <v>209</v>
      </c>
      <c r="K53" s="5" t="s">
        <v>210</v>
      </c>
      <c r="L53" s="5"/>
      <c r="M53"/>
      <c r="N53" s="4"/>
      <c r="O53" s="5"/>
    </row>
    <row r="54" spans="1:15" ht="21.75" customHeight="1" x14ac:dyDescent="0.15">
      <c r="A54" s="26" t="s">
        <v>76</v>
      </c>
      <c r="B54" s="1" t="s">
        <v>207</v>
      </c>
      <c r="C54" s="15" t="s">
        <v>211</v>
      </c>
      <c r="D54" s="5" t="s">
        <v>48</v>
      </c>
      <c r="E54" s="5"/>
      <c r="F54" s="5"/>
      <c r="G54" s="5">
        <v>100</v>
      </c>
      <c r="H54" s="5" t="s">
        <v>43</v>
      </c>
      <c r="I54" s="5" t="s">
        <v>31</v>
      </c>
      <c r="J54" s="5" t="s">
        <v>137</v>
      </c>
      <c r="K54" s="5" t="s">
        <v>212</v>
      </c>
      <c r="L54" s="5"/>
      <c r="M54"/>
      <c r="N54" s="4"/>
      <c r="O54" s="5"/>
    </row>
    <row r="55" spans="1:15" ht="21.75" customHeight="1" x14ac:dyDescent="0.15">
      <c r="A55" s="26" t="s">
        <v>76</v>
      </c>
      <c r="B55" s="1" t="s">
        <v>207</v>
      </c>
      <c r="C55" s="15" t="s">
        <v>213</v>
      </c>
      <c r="D55" s="5" t="s">
        <v>48</v>
      </c>
      <c r="E55" s="5"/>
      <c r="F55" s="5"/>
      <c r="G55" s="5">
        <v>200</v>
      </c>
      <c r="H55" s="5" t="s">
        <v>43</v>
      </c>
      <c r="I55" s="5" t="s">
        <v>82</v>
      </c>
      <c r="J55" s="5" t="s">
        <v>214</v>
      </c>
      <c r="K55" s="5" t="s">
        <v>215</v>
      </c>
      <c r="L55" s="5"/>
      <c r="M55"/>
      <c r="N55" s="4"/>
      <c r="O55" s="5"/>
    </row>
    <row r="56" spans="1:15" ht="21.75" customHeight="1" x14ac:dyDescent="0.15">
      <c r="A56" s="26" t="s">
        <v>76</v>
      </c>
      <c r="B56" s="1" t="s">
        <v>207</v>
      </c>
      <c r="C56" s="15" t="s">
        <v>216</v>
      </c>
      <c r="D56" s="5" t="s">
        <v>48</v>
      </c>
      <c r="E56" s="5"/>
      <c r="F56" s="5"/>
      <c r="G56" s="5">
        <v>300</v>
      </c>
      <c r="H56" s="5" t="s">
        <v>43</v>
      </c>
      <c r="I56" s="5" t="s">
        <v>72</v>
      </c>
      <c r="J56" s="5" t="s">
        <v>217</v>
      </c>
      <c r="K56" s="5" t="s">
        <v>218</v>
      </c>
      <c r="L56" s="5"/>
      <c r="M56"/>
      <c r="N56" s="4"/>
      <c r="O56" s="5"/>
    </row>
    <row r="57" spans="1:15" ht="21.75" customHeight="1" x14ac:dyDescent="0.15">
      <c r="A57" s="26" t="s">
        <v>76</v>
      </c>
      <c r="B57" s="1" t="s">
        <v>219</v>
      </c>
      <c r="C57" s="15" t="s">
        <v>220</v>
      </c>
      <c r="D57" s="5" t="s">
        <v>48</v>
      </c>
      <c r="E57" s="5"/>
      <c r="F57" s="5"/>
      <c r="G57" s="5">
        <v>400</v>
      </c>
      <c r="H57" s="5" t="s">
        <v>44</v>
      </c>
      <c r="I57" s="5" t="s">
        <v>49</v>
      </c>
      <c r="J57" s="5" t="s">
        <v>209</v>
      </c>
      <c r="K57" s="5" t="s">
        <v>221</v>
      </c>
      <c r="L57" s="5"/>
      <c r="M57"/>
      <c r="N57" s="4"/>
      <c r="O57" s="5"/>
    </row>
    <row r="58" spans="1:15" ht="21.75" customHeight="1" x14ac:dyDescent="0.15">
      <c r="A58" s="26" t="s">
        <v>76</v>
      </c>
      <c r="B58" s="1" t="s">
        <v>219</v>
      </c>
      <c r="C58" s="15" t="s">
        <v>222</v>
      </c>
      <c r="D58" s="5" t="s">
        <v>48</v>
      </c>
      <c r="E58" s="5"/>
      <c r="F58" s="5"/>
      <c r="G58" s="5">
        <v>500</v>
      </c>
      <c r="H58" s="5" t="s">
        <v>44</v>
      </c>
      <c r="I58" s="5" t="s">
        <v>31</v>
      </c>
      <c r="J58" s="5" t="s">
        <v>137</v>
      </c>
      <c r="K58" s="5" t="s">
        <v>94</v>
      </c>
      <c r="L58" s="5"/>
      <c r="M58"/>
      <c r="N58" s="4"/>
      <c r="O58" s="5"/>
    </row>
    <row r="59" spans="1:15" ht="21.75" customHeight="1" x14ac:dyDescent="0.15">
      <c r="A59" s="26" t="s">
        <v>76</v>
      </c>
      <c r="B59" s="1" t="s">
        <v>219</v>
      </c>
      <c r="C59" s="15" t="s">
        <v>223</v>
      </c>
      <c r="D59" s="5" t="s">
        <v>48</v>
      </c>
      <c r="E59" s="5"/>
      <c r="F59" s="5"/>
      <c r="G59" s="5">
        <v>600</v>
      </c>
      <c r="H59" s="5" t="s">
        <v>44</v>
      </c>
      <c r="I59" s="5" t="s">
        <v>82</v>
      </c>
      <c r="J59" s="5" t="s">
        <v>214</v>
      </c>
      <c r="K59" s="5" t="s">
        <v>96</v>
      </c>
      <c r="L59" s="5"/>
      <c r="M59"/>
      <c r="N59" s="4"/>
      <c r="O59" s="5"/>
    </row>
    <row r="60" spans="1:15" ht="21.75" customHeight="1" x14ac:dyDescent="0.15">
      <c r="A60" s="26" t="s">
        <v>76</v>
      </c>
      <c r="B60" s="1" t="s">
        <v>219</v>
      </c>
      <c r="C60" s="15" t="s">
        <v>224</v>
      </c>
      <c r="D60" s="5" t="s">
        <v>48</v>
      </c>
      <c r="E60" s="5"/>
      <c r="F60" s="5"/>
      <c r="G60" s="5">
        <v>700</v>
      </c>
      <c r="H60" s="5" t="s">
        <v>44</v>
      </c>
      <c r="I60" s="5" t="s">
        <v>72</v>
      </c>
      <c r="J60" s="5" t="s">
        <v>217</v>
      </c>
      <c r="K60" s="5" t="s">
        <v>225</v>
      </c>
      <c r="L60" s="5"/>
      <c r="M60"/>
      <c r="N60" s="4"/>
      <c r="O60" s="5"/>
    </row>
    <row r="61" spans="1:15" ht="21.75" customHeight="1" x14ac:dyDescent="0.15">
      <c r="A61" s="26" t="s">
        <v>76</v>
      </c>
      <c r="B61" s="1" t="s">
        <v>226</v>
      </c>
      <c r="C61" s="15" t="s">
        <v>227</v>
      </c>
      <c r="D61" s="5" t="s">
        <v>48</v>
      </c>
      <c r="E61" s="5"/>
      <c r="F61" s="5"/>
      <c r="G61" s="5">
        <v>800</v>
      </c>
      <c r="H61" s="5" t="s">
        <v>45</v>
      </c>
      <c r="I61" s="5" t="s">
        <v>49</v>
      </c>
      <c r="J61" s="5" t="s">
        <v>209</v>
      </c>
      <c r="K61" s="5" t="s">
        <v>228</v>
      </c>
      <c r="L61" s="5"/>
      <c r="M61"/>
      <c r="N61" s="4"/>
      <c r="O61" s="5"/>
    </row>
    <row r="62" spans="1:15" ht="21.75" customHeight="1" x14ac:dyDescent="0.15">
      <c r="A62" s="26" t="s">
        <v>76</v>
      </c>
      <c r="B62" s="1" t="s">
        <v>226</v>
      </c>
      <c r="C62" s="15" t="s">
        <v>229</v>
      </c>
      <c r="D62" s="5" t="s">
        <v>48</v>
      </c>
      <c r="E62" s="5"/>
      <c r="F62" s="5"/>
      <c r="G62" s="5">
        <v>900</v>
      </c>
      <c r="H62" s="5" t="s">
        <v>45</v>
      </c>
      <c r="I62" s="5" t="s">
        <v>31</v>
      </c>
      <c r="J62" s="5" t="s">
        <v>137</v>
      </c>
      <c r="K62" s="5" t="s">
        <v>230</v>
      </c>
      <c r="L62" s="5"/>
      <c r="M62"/>
      <c r="N62" s="4"/>
      <c r="O62" s="5"/>
    </row>
    <row r="63" spans="1:15" ht="21.75" customHeight="1" x14ac:dyDescent="0.15">
      <c r="A63" s="26" t="s">
        <v>76</v>
      </c>
      <c r="B63" s="1" t="s">
        <v>226</v>
      </c>
      <c r="C63" s="15" t="s">
        <v>231</v>
      </c>
      <c r="D63" s="5" t="s">
        <v>48</v>
      </c>
      <c r="E63" s="5"/>
      <c r="F63" s="5"/>
      <c r="G63" s="5">
        <v>1000</v>
      </c>
      <c r="H63" s="5" t="s">
        <v>45</v>
      </c>
      <c r="I63" s="5" t="s">
        <v>82</v>
      </c>
      <c r="J63" s="5" t="s">
        <v>214</v>
      </c>
      <c r="K63" s="5" t="s">
        <v>232</v>
      </c>
      <c r="L63" s="5"/>
      <c r="M63"/>
      <c r="N63" s="4"/>
      <c r="O63" s="5"/>
    </row>
    <row r="64" spans="1:15" ht="21.75" customHeight="1" x14ac:dyDescent="0.15">
      <c r="A64" s="26" t="s">
        <v>76</v>
      </c>
      <c r="B64" s="1" t="s">
        <v>226</v>
      </c>
      <c r="C64" s="15" t="s">
        <v>233</v>
      </c>
      <c r="D64" s="5" t="s">
        <v>48</v>
      </c>
      <c r="E64" s="5"/>
      <c r="F64" s="5"/>
      <c r="G64" s="5">
        <v>1100</v>
      </c>
      <c r="H64" s="5" t="s">
        <v>45</v>
      </c>
      <c r="I64" s="5" t="s">
        <v>72</v>
      </c>
      <c r="J64" s="5" t="s">
        <v>217</v>
      </c>
      <c r="K64" s="5" t="s">
        <v>234</v>
      </c>
      <c r="L64" s="5"/>
      <c r="M64"/>
      <c r="N64" s="4"/>
      <c r="O64" s="5"/>
    </row>
    <row r="65" spans="1:15" ht="21.75" customHeight="1" x14ac:dyDescent="0.15">
      <c r="A65" s="26"/>
      <c r="C65" s="15"/>
      <c r="D65" s="5"/>
      <c r="E65" s="5"/>
      <c r="F65" s="5"/>
      <c r="G65" s="5"/>
      <c r="H65" s="5"/>
      <c r="I65" s="5"/>
      <c r="J65" s="5"/>
      <c r="K65" s="5"/>
      <c r="L65" s="5"/>
      <c r="M65" s="31"/>
      <c r="N65" s="4"/>
      <c r="O65" s="5"/>
    </row>
    <row r="66" spans="1:15" ht="21.75" customHeight="1" x14ac:dyDescent="0.15">
      <c r="A66" s="26"/>
      <c r="C66" s="15"/>
      <c r="D66" s="5"/>
      <c r="E66" s="5"/>
      <c r="F66" s="5"/>
      <c r="G66" s="5"/>
      <c r="H66" s="5"/>
      <c r="I66" s="5"/>
      <c r="J66" s="5"/>
      <c r="K66" s="5"/>
      <c r="L66" s="5"/>
      <c r="M66" s="31"/>
      <c r="N66" s="4"/>
      <c r="O66" s="5"/>
    </row>
    <row r="67" spans="1:15" ht="21.75" customHeight="1" x14ac:dyDescent="0.15">
      <c r="A67" s="26"/>
      <c r="C67" s="15"/>
      <c r="D67" s="5"/>
      <c r="E67" s="5"/>
      <c r="F67" s="5"/>
      <c r="G67" s="5"/>
      <c r="H67" s="5"/>
      <c r="I67" s="5"/>
      <c r="J67" s="5"/>
      <c r="K67" s="5"/>
      <c r="L67" s="5"/>
      <c r="M67" s="31"/>
      <c r="N67" s="4"/>
      <c r="O67" s="5"/>
    </row>
    <row r="68" spans="1:15" ht="21.75" customHeight="1" x14ac:dyDescent="0.15">
      <c r="A68" s="26"/>
      <c r="C68" s="15"/>
      <c r="D68" s="5"/>
      <c r="E68" s="5"/>
      <c r="F68" s="5"/>
      <c r="G68" s="5"/>
      <c r="H68" s="5"/>
      <c r="I68" s="5"/>
      <c r="J68" s="5"/>
      <c r="K68" s="5"/>
      <c r="L68" s="5"/>
      <c r="M68" s="31"/>
      <c r="N68" s="4"/>
      <c r="O68" s="5"/>
    </row>
    <row r="69" spans="1:15" ht="21.75" customHeight="1" x14ac:dyDescent="0.15">
      <c r="A69" s="26"/>
      <c r="C69" s="15"/>
      <c r="D69" s="5"/>
      <c r="E69" s="5"/>
      <c r="F69" s="5"/>
      <c r="G69" s="5"/>
      <c r="H69" s="5"/>
      <c r="I69" s="5"/>
      <c r="J69" s="5"/>
      <c r="K69" s="5"/>
      <c r="L69" s="5"/>
      <c r="M69" s="31"/>
      <c r="N69" s="4"/>
      <c r="O69" s="5"/>
    </row>
    <row r="70" spans="1:15" ht="21.75" customHeight="1" x14ac:dyDescent="0.15">
      <c r="A70" s="26"/>
      <c r="C70" s="15"/>
      <c r="D70" s="5"/>
      <c r="E70" s="5"/>
      <c r="F70" s="5"/>
      <c r="G70" s="5"/>
      <c r="H70" s="5"/>
      <c r="I70" s="5"/>
      <c r="J70" s="5"/>
      <c r="K70" s="5"/>
      <c r="L70" s="5"/>
      <c r="M70" s="31"/>
      <c r="N70" s="4"/>
      <c r="O70" s="5"/>
    </row>
    <row r="71" spans="1:15" ht="21.75" customHeight="1" x14ac:dyDescent="0.15">
      <c r="A71" s="26"/>
      <c r="C71" s="15"/>
      <c r="D71" s="5"/>
      <c r="E71" s="5"/>
      <c r="F71" s="5"/>
      <c r="G71" s="5"/>
      <c r="H71" s="5"/>
      <c r="I71" s="5"/>
      <c r="J71" s="5"/>
      <c r="K71" s="5"/>
      <c r="L71" s="5"/>
      <c r="M71" s="31"/>
      <c r="N71" s="4"/>
      <c r="O71" s="5"/>
    </row>
    <row r="72" spans="1:15" ht="21.75" customHeight="1" x14ac:dyDescent="0.15">
      <c r="A72" s="26"/>
      <c r="C72" s="15"/>
      <c r="D72" s="5"/>
      <c r="E72" s="5"/>
      <c r="F72" s="5"/>
      <c r="G72" s="25"/>
      <c r="H72" s="5"/>
      <c r="I72" s="5"/>
      <c r="J72" s="5"/>
      <c r="K72" s="5"/>
      <c r="L72" s="5"/>
      <c r="M72" s="31"/>
      <c r="N72" s="4"/>
      <c r="O72" s="5"/>
    </row>
    <row r="73" spans="1:15" ht="21.75" customHeight="1" x14ac:dyDescent="0.15">
      <c r="A73" s="26"/>
      <c r="C73" s="15"/>
      <c r="D73" s="5"/>
      <c r="E73" s="5"/>
      <c r="F73" s="5"/>
      <c r="G73" s="5"/>
      <c r="H73" s="5"/>
      <c r="I73" s="5"/>
      <c r="J73" s="5"/>
      <c r="K73" s="5"/>
      <c r="L73" s="5"/>
      <c r="M73" s="31"/>
      <c r="N73" s="4"/>
      <c r="O73" s="5"/>
    </row>
    <row r="74" spans="1:15" ht="21.75" customHeight="1" x14ac:dyDescent="0.15">
      <c r="A74" s="26"/>
      <c r="C74" s="15"/>
      <c r="D74" s="5"/>
      <c r="E74" s="5"/>
      <c r="F74" s="5"/>
      <c r="G74" s="5"/>
      <c r="H74" s="5"/>
      <c r="I74" s="5"/>
      <c r="J74" s="5"/>
      <c r="K74" s="5"/>
      <c r="L74" s="5"/>
      <c r="M74" s="31"/>
      <c r="N74" s="4"/>
      <c r="O74" s="5"/>
    </row>
    <row r="75" spans="1:15" ht="21.75" customHeight="1" x14ac:dyDescent="0.15">
      <c r="A75" s="26"/>
      <c r="C75" s="15"/>
      <c r="D75" s="5"/>
      <c r="E75" s="5"/>
      <c r="F75" s="5"/>
      <c r="G75" s="27"/>
      <c r="H75" s="5"/>
      <c r="I75" s="5"/>
      <c r="J75" s="5"/>
      <c r="K75" s="5"/>
      <c r="L75" s="5"/>
      <c r="M75" s="31"/>
      <c r="N75" s="4"/>
      <c r="O75" s="5"/>
    </row>
    <row r="76" spans="1:15" ht="21.75" customHeight="1" x14ac:dyDescent="0.15">
      <c r="A76" s="26"/>
      <c r="C76" s="15"/>
      <c r="D76" s="5"/>
      <c r="E76" s="5"/>
      <c r="F76" s="5"/>
      <c r="G76" s="27"/>
      <c r="H76" s="5"/>
      <c r="I76" s="5"/>
      <c r="J76" s="5"/>
      <c r="K76" s="5"/>
      <c r="L76" s="5"/>
      <c r="M76" s="31"/>
      <c r="N76" s="4"/>
      <c r="O76" s="5"/>
    </row>
    <row r="77" spans="1:15" ht="21.75" customHeight="1" x14ac:dyDescent="0.15">
      <c r="A77" s="26"/>
      <c r="C77" s="15"/>
      <c r="D77" s="5"/>
      <c r="E77" s="5"/>
      <c r="F77" s="5"/>
      <c r="G77" s="27"/>
      <c r="H77" s="5"/>
      <c r="I77" s="5"/>
      <c r="J77" s="5"/>
      <c r="K77" s="5"/>
      <c r="L77" s="5"/>
      <c r="M77" s="31"/>
      <c r="N77" s="4"/>
      <c r="O77" s="5"/>
    </row>
    <row r="78" spans="1:15" ht="21.75" customHeight="1" x14ac:dyDescent="0.15">
      <c r="A78" s="26"/>
      <c r="C78" s="15"/>
      <c r="D78" s="5"/>
      <c r="E78" s="5"/>
      <c r="F78" s="5"/>
      <c r="G78" s="28"/>
      <c r="H78" s="5"/>
      <c r="I78" s="5"/>
      <c r="J78" s="5"/>
      <c r="K78" s="5"/>
      <c r="L78" s="5"/>
      <c r="M78" s="31"/>
      <c r="N78" s="4"/>
      <c r="O78" s="5"/>
    </row>
    <row r="79" spans="1:15" ht="21.75" customHeight="1" x14ac:dyDescent="0.15">
      <c r="A79" s="26"/>
      <c r="C79" s="15"/>
      <c r="D79" s="5"/>
      <c r="E79" s="5"/>
      <c r="F79" s="5"/>
      <c r="G79" s="28"/>
      <c r="H79" s="5"/>
      <c r="I79" s="5"/>
      <c r="J79" s="5"/>
      <c r="K79" s="5"/>
      <c r="L79" s="5"/>
      <c r="M79" s="31"/>
      <c r="N79" s="4"/>
      <c r="O79" s="5"/>
    </row>
    <row r="80" spans="1:15" ht="21.75" customHeight="1" x14ac:dyDescent="0.15">
      <c r="A80" s="26"/>
      <c r="C80" s="15"/>
      <c r="D80" s="5"/>
      <c r="E80" s="5"/>
      <c r="F80" s="5"/>
      <c r="G80" s="28"/>
      <c r="H80" s="5"/>
      <c r="I80" s="5"/>
      <c r="J80" s="5"/>
      <c r="K80" s="5"/>
      <c r="L80" s="5"/>
      <c r="M80" s="31"/>
      <c r="N80" s="4"/>
      <c r="O80" s="5"/>
    </row>
    <row r="81" spans="1:15" ht="21.75" customHeight="1" x14ac:dyDescent="0.15">
      <c r="A81" s="26"/>
      <c r="C81" s="15"/>
      <c r="D81" s="5"/>
      <c r="E81" s="5"/>
      <c r="F81" s="5"/>
      <c r="G81" s="28"/>
      <c r="H81" s="5"/>
      <c r="I81" s="5"/>
      <c r="J81" s="5"/>
      <c r="K81" s="5"/>
      <c r="L81" s="5"/>
      <c r="M81" s="31"/>
      <c r="N81" s="4"/>
      <c r="O81" s="5"/>
    </row>
    <row r="82" spans="1:15" ht="21.75" customHeight="1" x14ac:dyDescent="0.15">
      <c r="A82" s="26"/>
      <c r="C82" s="15"/>
      <c r="D82" s="5"/>
      <c r="E82" s="5"/>
      <c r="F82" s="5"/>
      <c r="G82" s="27"/>
      <c r="H82" s="5"/>
      <c r="I82" s="5"/>
      <c r="J82" s="5"/>
      <c r="K82" s="5"/>
      <c r="L82" s="5"/>
      <c r="M82" s="31"/>
      <c r="N82" s="4"/>
      <c r="O82" s="5"/>
    </row>
    <row r="83" spans="1:15" ht="21.75" customHeight="1" x14ac:dyDescent="0.15">
      <c r="A83" s="26"/>
      <c r="C83" s="15"/>
      <c r="D83" s="5"/>
      <c r="E83" s="5"/>
      <c r="F83" s="5"/>
      <c r="G83" s="5"/>
      <c r="H83" s="5"/>
      <c r="I83" s="5"/>
      <c r="J83" s="5"/>
      <c r="K83" s="5"/>
      <c r="L83" s="5"/>
      <c r="M83" s="31"/>
      <c r="N83" s="4"/>
      <c r="O83" s="5"/>
    </row>
    <row r="84" spans="1:15" ht="21.75" customHeight="1" x14ac:dyDescent="0.15">
      <c r="A84" s="26"/>
      <c r="C84" s="15"/>
      <c r="D84" s="5"/>
      <c r="E84" s="5"/>
      <c r="F84" s="5"/>
      <c r="G84" s="5"/>
      <c r="H84" s="5"/>
      <c r="I84" s="5"/>
      <c r="J84" s="5"/>
      <c r="K84" s="5"/>
      <c r="L84" s="5"/>
      <c r="M84" s="31"/>
      <c r="N84" s="4"/>
      <c r="O84" s="5"/>
    </row>
    <row r="85" spans="1:15" ht="21.75" customHeight="1" x14ac:dyDescent="0.15">
      <c r="A85" s="26"/>
      <c r="C85" s="15"/>
      <c r="D85" s="5"/>
      <c r="E85" s="5"/>
      <c r="F85" s="5"/>
      <c r="G85" s="5"/>
      <c r="H85" s="5"/>
      <c r="I85" s="5"/>
      <c r="J85" s="5"/>
      <c r="K85" s="5"/>
      <c r="L85" s="5"/>
      <c r="M85" s="31"/>
      <c r="N85" s="4"/>
      <c r="O85" s="5"/>
    </row>
    <row r="86" spans="1:15" ht="21.75" customHeight="1" x14ac:dyDescent="0.15">
      <c r="A86" s="26"/>
      <c r="C86" s="15"/>
      <c r="D86" s="5"/>
      <c r="E86" s="5"/>
      <c r="F86" s="5"/>
      <c r="G86" s="5"/>
      <c r="H86" s="5"/>
      <c r="I86" s="5"/>
      <c r="J86" s="5"/>
      <c r="K86" s="5"/>
      <c r="L86" s="5"/>
      <c r="M86" s="31"/>
      <c r="N86" s="4"/>
      <c r="O86" s="5"/>
    </row>
    <row r="87" spans="1:15" ht="21.75" customHeight="1" x14ac:dyDescent="0.15">
      <c r="A87" s="26"/>
      <c r="C87" s="15"/>
      <c r="D87" s="5"/>
      <c r="E87" s="5"/>
      <c r="F87" s="5"/>
      <c r="G87" s="27"/>
      <c r="H87" s="5"/>
      <c r="I87" s="5"/>
      <c r="J87" s="5"/>
      <c r="K87" s="5"/>
      <c r="L87" s="5"/>
      <c r="M87" s="31"/>
      <c r="N87" s="4"/>
      <c r="O87" s="5"/>
    </row>
    <row r="88" spans="1:15" ht="21.75" customHeight="1" x14ac:dyDescent="0.15">
      <c r="A88" s="26"/>
      <c r="C88" s="15"/>
      <c r="D88" s="5"/>
      <c r="E88" s="5"/>
      <c r="F88" s="5"/>
      <c r="G88" s="5"/>
      <c r="H88" s="5"/>
      <c r="I88" s="5"/>
      <c r="J88" s="5"/>
      <c r="K88" s="5"/>
      <c r="L88" s="5"/>
      <c r="M88" s="31"/>
      <c r="N88" s="4"/>
      <c r="O88" s="5"/>
    </row>
    <row r="89" spans="1:15" ht="21.75" customHeight="1" x14ac:dyDescent="0.15">
      <c r="A89" s="26"/>
      <c r="C89" s="15"/>
      <c r="D89" s="5"/>
      <c r="E89" s="5"/>
      <c r="F89" s="5"/>
      <c r="G89" s="5"/>
      <c r="H89" s="5"/>
      <c r="I89" s="5"/>
      <c r="J89" s="5"/>
      <c r="K89" s="5"/>
      <c r="L89" s="5"/>
      <c r="M89" s="31"/>
      <c r="N89" s="4"/>
      <c r="O89" s="5"/>
    </row>
    <row r="90" spans="1:15" ht="21.75" customHeight="1" x14ac:dyDescent="0.15">
      <c r="A90" s="26"/>
      <c r="C90" s="15"/>
      <c r="D90" s="5"/>
      <c r="E90" s="5"/>
      <c r="F90" s="5"/>
      <c r="G90" s="5"/>
      <c r="H90" s="5"/>
      <c r="I90" s="5"/>
      <c r="J90" s="5"/>
      <c r="K90" s="5"/>
      <c r="L90" s="5"/>
      <c r="M90" s="31"/>
      <c r="N90" s="4"/>
      <c r="O90" s="5"/>
    </row>
    <row r="91" spans="1:15" ht="21.75" customHeight="1" x14ac:dyDescent="0.15">
      <c r="A91" s="26"/>
      <c r="C91" s="15"/>
      <c r="D91" s="5"/>
      <c r="E91" s="5"/>
      <c r="F91" s="5"/>
      <c r="G91" s="5"/>
      <c r="H91" s="5"/>
      <c r="I91" s="5"/>
      <c r="J91" s="5"/>
      <c r="K91" s="5"/>
      <c r="L91" s="5"/>
      <c r="M91" s="31"/>
      <c r="N91" s="4"/>
      <c r="O91" s="5"/>
    </row>
    <row r="92" spans="1:15" ht="21.75" customHeight="1" x14ac:dyDescent="0.15">
      <c r="A92" s="26"/>
      <c r="C92" s="15"/>
      <c r="D92" s="5"/>
      <c r="E92" s="5"/>
      <c r="F92" s="5"/>
      <c r="G92" s="5"/>
      <c r="H92" s="5"/>
      <c r="I92" s="5"/>
      <c r="J92" s="5"/>
      <c r="K92" s="5"/>
      <c r="L92" s="5"/>
      <c r="M92" s="31"/>
      <c r="N92" s="4"/>
      <c r="O92" s="5"/>
    </row>
    <row r="93" spans="1:15" ht="21.75" customHeight="1" x14ac:dyDescent="0.15">
      <c r="A93" s="26"/>
      <c r="C93" s="15"/>
      <c r="D93" s="5"/>
      <c r="E93" s="5"/>
      <c r="F93" s="5"/>
      <c r="G93" s="5"/>
      <c r="H93" s="5"/>
      <c r="I93" s="5"/>
      <c r="J93" s="5"/>
      <c r="K93" s="5"/>
      <c r="L93" s="5"/>
      <c r="M93" s="31"/>
      <c r="N93" s="4"/>
      <c r="O93" s="5"/>
    </row>
    <row r="94" spans="1:15" ht="21.75" customHeight="1" x14ac:dyDescent="0.15">
      <c r="A94" s="26"/>
      <c r="C94" s="15"/>
      <c r="D94" s="5"/>
      <c r="E94" s="5"/>
      <c r="F94" s="5"/>
      <c r="G94" s="5"/>
      <c r="H94" s="5"/>
      <c r="I94" s="5"/>
      <c r="J94" s="5"/>
      <c r="K94" s="5"/>
      <c r="L94" s="5"/>
      <c r="M94" s="31"/>
      <c r="N94" s="4"/>
      <c r="O94" s="5"/>
    </row>
    <row r="95" spans="1:15" ht="21.75" customHeight="1" x14ac:dyDescent="0.15">
      <c r="A95" s="26"/>
      <c r="C95" s="15"/>
      <c r="D95" s="5"/>
      <c r="E95" s="5"/>
      <c r="F95" s="5"/>
      <c r="G95" s="5"/>
      <c r="H95" s="5"/>
      <c r="I95" s="5"/>
      <c r="J95" s="5"/>
      <c r="K95" s="5"/>
      <c r="L95" s="5"/>
      <c r="M95" s="31"/>
      <c r="N95" s="4"/>
      <c r="O95" s="5"/>
    </row>
    <row r="96" spans="1:15" ht="21.75" customHeight="1" x14ac:dyDescent="0.15">
      <c r="A96" s="26"/>
      <c r="C96" s="15"/>
      <c r="D96" s="5"/>
      <c r="E96" s="5"/>
      <c r="F96" s="5"/>
      <c r="G96" s="5"/>
      <c r="H96" s="5"/>
      <c r="I96" s="5"/>
      <c r="J96" s="5"/>
      <c r="K96" s="29"/>
      <c r="L96" s="5"/>
      <c r="M96" s="31"/>
      <c r="N96" s="4"/>
      <c r="O96" s="5"/>
    </row>
    <row r="97" spans="1:15" ht="21.75" customHeight="1" x14ac:dyDescent="0.15">
      <c r="A97" s="26"/>
      <c r="C97" s="15"/>
      <c r="D97" s="5"/>
      <c r="E97" s="5"/>
      <c r="F97" s="5"/>
      <c r="G97" s="5"/>
      <c r="H97" s="5"/>
      <c r="I97" s="5"/>
      <c r="J97" s="5"/>
      <c r="K97" s="5"/>
      <c r="L97" s="5"/>
      <c r="M97" s="31"/>
      <c r="N97" s="4"/>
      <c r="O97" s="5"/>
    </row>
    <row r="98" spans="1:15" ht="21.75" customHeight="1" x14ac:dyDescent="0.15">
      <c r="A98" s="26"/>
      <c r="C98" s="15"/>
      <c r="D98" s="5"/>
      <c r="E98" s="5"/>
      <c r="F98" s="5"/>
      <c r="G98" s="5"/>
      <c r="H98" s="5"/>
      <c r="I98" s="5"/>
      <c r="J98" s="5"/>
      <c r="K98" s="5"/>
      <c r="L98" s="5"/>
      <c r="M98" s="31"/>
      <c r="N98" s="4"/>
      <c r="O98" s="5"/>
    </row>
    <row r="99" spans="1:15" ht="21.75" customHeight="1" x14ac:dyDescent="0.15">
      <c r="A99" s="26"/>
      <c r="C99" s="15"/>
      <c r="D99" s="5"/>
      <c r="E99" s="5"/>
      <c r="F99" s="5"/>
      <c r="G99" s="5"/>
      <c r="H99" s="5"/>
      <c r="I99" s="5"/>
      <c r="J99" s="5"/>
      <c r="K99" s="5"/>
      <c r="L99" s="5"/>
      <c r="M99" s="31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5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5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4"/>
      <c r="O106" s="5"/>
    </row>
    <row r="107" spans="1:15" ht="21.75" customHeight="1" x14ac:dyDescent="0.15">
      <c r="A107" s="13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4"/>
      <c r="O107" s="5"/>
    </row>
    <row r="108" spans="1:15" ht="21.75" customHeight="1" x14ac:dyDescent="0.15">
      <c r="A108" s="13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4"/>
      <c r="O108" s="5"/>
    </row>
    <row r="109" spans="1:15" ht="21.75" customHeight="1" x14ac:dyDescent="0.15">
      <c r="A109" s="13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4"/>
      <c r="O109" s="5"/>
    </row>
    <row r="110" spans="1:15" ht="21.75" customHeight="1" x14ac:dyDescent="0.15">
      <c r="A110" s="13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4"/>
      <c r="O110" s="5"/>
    </row>
    <row r="111" spans="1:15" ht="21.75" customHeight="1" x14ac:dyDescent="0.15">
      <c r="A111" s="13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4"/>
      <c r="O111" s="5"/>
    </row>
    <row r="112" spans="1:15" ht="21.75" customHeight="1" x14ac:dyDescent="0.15">
      <c r="A112" s="13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4"/>
      <c r="O112" s="5"/>
    </row>
    <row r="113" spans="1:15" ht="21.75" customHeight="1" x14ac:dyDescent="0.15">
      <c r="A113" s="13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4"/>
      <c r="O113" s="5"/>
    </row>
    <row r="114" spans="1:15" ht="21.75" customHeight="1" x14ac:dyDescent="0.15">
      <c r="A114" s="13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4"/>
      <c r="O114" s="5"/>
    </row>
    <row r="115" spans="1:15" ht="21.75" customHeight="1" x14ac:dyDescent="0.15">
      <c r="A115" s="13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5"/>
      <c r="N115" s="4"/>
      <c r="O115" s="5"/>
    </row>
    <row r="116" spans="1:15" ht="21.75" customHeight="1" x14ac:dyDescent="0.15">
      <c r="A116" s="13"/>
      <c r="C116" s="15"/>
      <c r="D116" s="5"/>
      <c r="E116" s="5"/>
      <c r="F116" s="5"/>
      <c r="G116" s="5"/>
      <c r="H116" s="5"/>
      <c r="I116" s="5"/>
      <c r="J116" s="5"/>
      <c r="K116" s="20"/>
      <c r="L116" s="20"/>
      <c r="M116" s="5"/>
      <c r="N116" s="4"/>
      <c r="O116" s="5"/>
    </row>
    <row r="117" spans="1:15" ht="21.75" customHeight="1" x14ac:dyDescent="0.15">
      <c r="A117" s="13"/>
      <c r="C117" s="15"/>
      <c r="D117" s="5"/>
      <c r="E117" s="5"/>
      <c r="F117" s="5"/>
      <c r="G117" s="5"/>
      <c r="H117" s="5"/>
      <c r="I117" s="5"/>
      <c r="J117" s="5"/>
      <c r="K117" s="20"/>
      <c r="L117" s="20"/>
      <c r="M117" s="5"/>
      <c r="N117" s="4"/>
      <c r="O117" s="5"/>
    </row>
    <row r="118" spans="1:15" ht="21.75" customHeight="1" x14ac:dyDescent="0.15">
      <c r="A118" s="13"/>
      <c r="C118" s="15"/>
      <c r="D118" s="5"/>
      <c r="E118" s="5"/>
      <c r="F118" s="5"/>
      <c r="G118" s="5"/>
      <c r="H118" s="5"/>
      <c r="I118" s="5"/>
      <c r="J118" s="5"/>
      <c r="K118" s="10"/>
      <c r="L118" s="10"/>
      <c r="M118" s="5"/>
      <c r="N118" s="4"/>
      <c r="O118" s="5"/>
    </row>
    <row r="119" spans="1:15" ht="21.75" customHeight="1" x14ac:dyDescent="0.15">
      <c r="A119" s="13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5"/>
      <c r="L128" s="5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20"/>
      <c r="L132" s="20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20"/>
      <c r="L133" s="20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10"/>
      <c r="L134" s="10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5"/>
      <c r="L144" s="5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20"/>
      <c r="L148" s="20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20"/>
      <c r="L149" s="20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10"/>
      <c r="L150" s="10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5"/>
      <c r="L160" s="5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20"/>
      <c r="L164" s="20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20"/>
      <c r="L165" s="20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10"/>
      <c r="L166" s="10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5"/>
      <c r="L176" s="5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20"/>
      <c r="L180" s="20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20"/>
      <c r="L181" s="20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10"/>
      <c r="L182" s="10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5"/>
      <c r="L192" s="5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5"/>
      <c r="L194" s="5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20"/>
      <c r="L196" s="20"/>
      <c r="M196" s="31"/>
      <c r="N196" s="4"/>
      <c r="O196" s="5"/>
    </row>
    <row r="197" spans="1:15" x14ac:dyDescent="0.15">
      <c r="A197" s="14"/>
      <c r="C197" s="15"/>
      <c r="D197" s="5"/>
      <c r="E197" s="5"/>
      <c r="F197" s="5"/>
      <c r="G197" s="5"/>
      <c r="H197" s="5"/>
      <c r="I197" s="5"/>
      <c r="J197" s="5"/>
      <c r="K197" s="20"/>
      <c r="L197" s="20"/>
      <c r="M197" s="31"/>
      <c r="N197" s="4"/>
      <c r="O197" s="5"/>
    </row>
    <row r="198" spans="1:15" x14ac:dyDescent="0.15">
      <c r="A198" s="14"/>
      <c r="C198" s="15"/>
      <c r="D198" s="5"/>
      <c r="E198" s="5"/>
      <c r="F198" s="5"/>
      <c r="G198" s="5"/>
      <c r="H198" s="5"/>
      <c r="I198" s="5"/>
      <c r="J198" s="5"/>
      <c r="K198" s="10"/>
      <c r="L198" s="10"/>
      <c r="M198" s="31"/>
      <c r="N198" s="4"/>
      <c r="O198" s="5"/>
    </row>
    <row r="199" spans="1:15" x14ac:dyDescent="0.15">
      <c r="A199" s="14"/>
      <c r="C199" s="15"/>
      <c r="D199" s="5"/>
      <c r="E199" s="5"/>
      <c r="F199" s="5"/>
      <c r="G199" s="5"/>
      <c r="H199" s="5"/>
      <c r="I199" s="5"/>
      <c r="J199" s="5"/>
      <c r="K199" s="5"/>
      <c r="L199" s="5"/>
      <c r="M199" s="31"/>
      <c r="N199" s="4"/>
      <c r="O199" s="5"/>
    </row>
    <row r="200" spans="1:15" x14ac:dyDescent="0.15">
      <c r="A200" s="14"/>
      <c r="C200" s="15"/>
      <c r="D200" s="5"/>
      <c r="E200" s="5"/>
      <c r="F200" s="5"/>
      <c r="G200" s="5"/>
      <c r="H200" s="5"/>
      <c r="I200" s="5"/>
      <c r="J200" s="5"/>
      <c r="K200" s="5"/>
      <c r="L200" s="5"/>
      <c r="M200" s="31"/>
      <c r="N200" s="4"/>
      <c r="O200" s="5"/>
    </row>
    <row r="201" spans="1:15" x14ac:dyDescent="0.15">
      <c r="A201" s="14"/>
      <c r="C201" s="15"/>
      <c r="D201" s="5"/>
      <c r="E201" s="5"/>
      <c r="F201" s="5"/>
      <c r="G201" s="5"/>
      <c r="H201" s="5"/>
      <c r="I201" s="5"/>
      <c r="J201" s="5"/>
      <c r="K201" s="5"/>
      <c r="L201" s="5"/>
      <c r="M201" s="31"/>
      <c r="N201" s="4"/>
      <c r="O201" s="5"/>
    </row>
    <row r="202" spans="1:15" x14ac:dyDescent="0.15">
      <c r="A202" s="14"/>
      <c r="C202" s="15"/>
      <c r="D202" s="5"/>
      <c r="E202" s="5"/>
      <c r="F202" s="5"/>
      <c r="G202" s="5"/>
      <c r="H202" s="5"/>
      <c r="I202" s="5"/>
      <c r="J202" s="5"/>
      <c r="K202" s="5"/>
      <c r="L202" s="5"/>
      <c r="M202" s="31"/>
      <c r="N202" s="4"/>
      <c r="O202" s="5"/>
    </row>
    <row r="203" spans="1:15" x14ac:dyDescent="0.15">
      <c r="A203" s="14"/>
      <c r="C203" s="15"/>
      <c r="D203" s="5"/>
      <c r="E203" s="5"/>
      <c r="F203" s="5"/>
      <c r="G203" s="5"/>
      <c r="H203" s="5"/>
      <c r="I203" s="5"/>
      <c r="J203" s="5"/>
      <c r="K203" s="5"/>
      <c r="L203" s="5"/>
      <c r="M203" s="31"/>
      <c r="N203" s="4"/>
      <c r="O203" s="5"/>
    </row>
    <row r="204" spans="1:15" x14ac:dyDescent="0.15">
      <c r="A204" s="14"/>
      <c r="C204" s="15"/>
      <c r="D204" s="5"/>
      <c r="E204" s="5"/>
      <c r="F204" s="5"/>
      <c r="G204" s="5"/>
      <c r="H204" s="5"/>
      <c r="I204" s="5"/>
      <c r="J204" s="5"/>
      <c r="K204" s="5"/>
      <c r="L204" s="5"/>
      <c r="M204" s="31"/>
      <c r="N204" s="4"/>
      <c r="O204" s="5"/>
    </row>
    <row r="205" spans="1:15" x14ac:dyDescent="0.15">
      <c r="A205" s="14"/>
      <c r="C205" s="15"/>
      <c r="D205" s="5"/>
      <c r="E205" s="5"/>
      <c r="F205" s="5"/>
      <c r="G205" s="5"/>
      <c r="H205" s="5"/>
      <c r="I205" s="5"/>
      <c r="J205" s="5"/>
      <c r="K205" s="5"/>
      <c r="L205" s="5"/>
      <c r="M205" s="31"/>
      <c r="N205" s="4"/>
      <c r="O205" s="5"/>
    </row>
    <row r="206" spans="1:15" x14ac:dyDescent="0.15">
      <c r="A206" s="14"/>
      <c r="C206" s="15"/>
      <c r="D206" s="5"/>
      <c r="E206" s="5"/>
      <c r="F206" s="5"/>
      <c r="G206" s="5"/>
      <c r="H206" s="5"/>
      <c r="I206" s="5"/>
      <c r="J206" s="5"/>
      <c r="K206" s="5"/>
      <c r="L206" s="5"/>
      <c r="M206" s="31"/>
      <c r="N206" s="4"/>
      <c r="O206" s="5"/>
    </row>
    <row r="207" spans="1:15" x14ac:dyDescent="0.15">
      <c r="A207" s="14"/>
      <c r="C207" s="15"/>
      <c r="D207" s="5"/>
      <c r="E207" s="5"/>
      <c r="F207" s="5"/>
      <c r="G207" s="5"/>
      <c r="H207" s="5"/>
      <c r="I207" s="5"/>
      <c r="J207" s="5"/>
      <c r="K207" s="5"/>
      <c r="L207" s="5"/>
      <c r="M207" s="31"/>
      <c r="N207" s="4"/>
      <c r="O207" s="5"/>
    </row>
    <row r="208" spans="1:15" x14ac:dyDescent="0.15">
      <c r="A208" s="14"/>
      <c r="C208" s="15"/>
      <c r="D208" s="5"/>
      <c r="E208" s="5"/>
      <c r="F208" s="5"/>
      <c r="G208" s="5"/>
      <c r="H208" s="5"/>
      <c r="I208" s="5"/>
      <c r="J208" s="5"/>
      <c r="K208" s="5"/>
      <c r="L208" s="5"/>
      <c r="M208" s="31"/>
      <c r="N208" s="4"/>
      <c r="O208" s="5"/>
    </row>
    <row r="209" spans="1:15" x14ac:dyDescent="0.15">
      <c r="A209" s="14"/>
      <c r="C209" s="15"/>
      <c r="D209" s="5"/>
      <c r="E209" s="5"/>
      <c r="F209" s="5"/>
      <c r="G209" s="5"/>
      <c r="H209" s="5"/>
      <c r="I209" s="5"/>
      <c r="J209" s="5"/>
      <c r="K209" s="5"/>
      <c r="L209" s="5"/>
      <c r="M209" s="31"/>
      <c r="N209" s="4"/>
      <c r="O209" s="5"/>
    </row>
    <row r="210" spans="1:15" x14ac:dyDescent="0.15">
      <c r="A210" s="14"/>
      <c r="C210" s="15"/>
      <c r="D210" s="5"/>
      <c r="E210" s="5"/>
      <c r="F210" s="5"/>
      <c r="G210" s="5"/>
      <c r="H210" s="5"/>
      <c r="I210" s="5"/>
      <c r="J210" s="5"/>
      <c r="K210" s="5"/>
      <c r="L210" s="5"/>
      <c r="M210" s="31"/>
      <c r="N210" s="4"/>
      <c r="O210" s="5"/>
    </row>
    <row r="211" spans="1:15" x14ac:dyDescent="0.15">
      <c r="A211" s="14"/>
      <c r="C211" s="15"/>
      <c r="D211" s="5"/>
      <c r="E211" s="5"/>
      <c r="F211" s="5"/>
      <c r="G211" s="5"/>
      <c r="H211" s="5"/>
      <c r="I211" s="5"/>
      <c r="J211" s="5"/>
      <c r="K211" s="10"/>
      <c r="L211" s="10"/>
      <c r="M211" s="31"/>
      <c r="N211" s="4"/>
      <c r="O211" s="5"/>
    </row>
    <row r="212" spans="1:15" x14ac:dyDescent="0.15">
      <c r="A212" s="14"/>
      <c r="C212" s="15"/>
      <c r="D212" s="5"/>
      <c r="E212" s="5"/>
      <c r="F212" s="5"/>
      <c r="G212" s="5"/>
      <c r="H212" s="5"/>
      <c r="I212" s="5"/>
      <c r="J212" s="5"/>
      <c r="K212" s="20"/>
      <c r="L212" s="20"/>
      <c r="M212" s="31"/>
      <c r="N212" s="4"/>
      <c r="O212" s="5"/>
    </row>
    <row r="213" spans="1:15" x14ac:dyDescent="0.15">
      <c r="A213" s="14"/>
      <c r="C213" s="15"/>
      <c r="D213" s="5"/>
      <c r="E213" s="5"/>
      <c r="F213" s="5"/>
      <c r="G213" s="5"/>
      <c r="H213" s="5"/>
      <c r="I213" s="5"/>
      <c r="J213" s="5"/>
      <c r="K213" s="20"/>
      <c r="L213" s="20"/>
      <c r="M213" s="31"/>
      <c r="N213" s="4"/>
      <c r="O213" s="5"/>
    </row>
    <row r="214" spans="1:15" x14ac:dyDescent="0.15">
      <c r="A214" s="14"/>
      <c r="C214" s="15"/>
      <c r="D214" s="5"/>
      <c r="E214" s="5"/>
      <c r="F214" s="5"/>
      <c r="G214" s="5"/>
      <c r="H214" s="5"/>
      <c r="I214" s="5"/>
      <c r="J214" s="5"/>
      <c r="K214" s="10"/>
      <c r="L214" s="10"/>
      <c r="M214" s="31"/>
      <c r="N214" s="4"/>
      <c r="O214" s="5"/>
    </row>
    <row r="215" spans="1:15" x14ac:dyDescent="0.15">
      <c r="A215" s="14"/>
      <c r="C215" s="15"/>
      <c r="D215" s="5"/>
      <c r="E215" s="5"/>
      <c r="F215" s="5"/>
      <c r="G215" s="5"/>
      <c r="H215" s="5"/>
      <c r="I215" s="5"/>
      <c r="J215" s="5"/>
      <c r="K215" s="5"/>
      <c r="L215" s="5"/>
      <c r="M215" s="31"/>
      <c r="N215" s="4"/>
      <c r="O215" s="5"/>
    </row>
    <row r="216" spans="1:15" x14ac:dyDescent="0.15">
      <c r="A216" s="14"/>
      <c r="C216" s="15"/>
      <c r="D216" s="5"/>
      <c r="E216" s="5"/>
      <c r="F216" s="5"/>
      <c r="G216" s="5"/>
      <c r="H216" s="5"/>
      <c r="I216" s="5"/>
      <c r="J216" s="5"/>
      <c r="K216" s="5"/>
      <c r="L216" s="5"/>
      <c r="M216" s="31"/>
      <c r="N216" s="4"/>
      <c r="O216" s="5"/>
    </row>
    <row r="217" spans="1:15" x14ac:dyDescent="0.15">
      <c r="A217" s="14"/>
      <c r="C217" s="15"/>
      <c r="D217" s="5"/>
      <c r="E217" s="5"/>
      <c r="F217" s="5"/>
      <c r="G217" s="5"/>
      <c r="H217" s="5"/>
      <c r="I217" s="5"/>
      <c r="J217" s="5"/>
      <c r="K217" s="5"/>
      <c r="L217" s="5"/>
      <c r="M217" s="31"/>
      <c r="N217" s="4"/>
      <c r="O217" s="5"/>
    </row>
    <row r="218" spans="1:15" x14ac:dyDescent="0.15">
      <c r="A218" s="14"/>
      <c r="C218" s="15"/>
      <c r="D218" s="5"/>
      <c r="E218" s="5"/>
      <c r="F218" s="5"/>
      <c r="G218" s="5"/>
      <c r="H218" s="5"/>
      <c r="I218" s="5"/>
      <c r="J218" s="5"/>
      <c r="K218" s="5"/>
      <c r="L218" s="5"/>
      <c r="M218" s="31"/>
      <c r="N218" s="4"/>
      <c r="O218" s="5"/>
    </row>
    <row r="219" spans="1:15" x14ac:dyDescent="0.15">
      <c r="A219" s="14"/>
      <c r="C219" s="15"/>
      <c r="D219" s="5"/>
      <c r="E219" s="5"/>
      <c r="F219" s="5"/>
      <c r="G219" s="5"/>
      <c r="H219" s="5"/>
      <c r="I219" s="5"/>
      <c r="J219" s="5"/>
      <c r="K219" s="5"/>
      <c r="L219" s="5"/>
      <c r="M219" s="31"/>
      <c r="N219" s="4"/>
      <c r="O219" s="5"/>
    </row>
    <row r="220" spans="1:15" x14ac:dyDescent="0.15">
      <c r="A220" s="14"/>
      <c r="C220" s="15"/>
      <c r="D220" s="5"/>
      <c r="E220" s="5"/>
      <c r="F220" s="5"/>
      <c r="G220" s="5"/>
      <c r="H220" s="5"/>
      <c r="I220" s="5"/>
      <c r="J220" s="5"/>
      <c r="K220" s="5"/>
      <c r="L220" s="5"/>
      <c r="M220" s="31"/>
      <c r="N220" s="4"/>
      <c r="O220" s="5"/>
    </row>
    <row r="221" spans="1:15" x14ac:dyDescent="0.15">
      <c r="A221" s="14"/>
      <c r="C221" s="15"/>
      <c r="D221" s="5"/>
      <c r="E221" s="5"/>
      <c r="F221" s="5"/>
      <c r="G221" s="5"/>
      <c r="H221" s="5"/>
      <c r="I221" s="5"/>
      <c r="J221" s="5"/>
      <c r="K221" s="5"/>
      <c r="L221" s="5"/>
      <c r="M221" s="31"/>
      <c r="N221" s="4"/>
      <c r="O221" s="5"/>
    </row>
    <row r="222" spans="1:15" x14ac:dyDescent="0.15">
      <c r="A222" s="14"/>
      <c r="C222" s="15"/>
      <c r="D222" s="5"/>
      <c r="E222" s="5"/>
      <c r="F222" s="5"/>
      <c r="G222" s="5"/>
      <c r="H222" s="5"/>
      <c r="I222" s="5"/>
      <c r="J222" s="5"/>
      <c r="K222" s="5"/>
      <c r="L222" s="5"/>
      <c r="M222" s="31"/>
      <c r="N222" s="4"/>
      <c r="O222" s="5"/>
    </row>
    <row r="223" spans="1:15" x14ac:dyDescent="0.15">
      <c r="A223" s="14"/>
      <c r="C223" s="15"/>
      <c r="D223" s="5"/>
      <c r="E223" s="5"/>
      <c r="F223" s="5"/>
      <c r="G223" s="5"/>
      <c r="H223" s="5"/>
      <c r="I223" s="5"/>
      <c r="J223" s="5"/>
      <c r="K223" s="5"/>
      <c r="L223" s="5"/>
      <c r="M223" s="31"/>
      <c r="N223" s="4"/>
      <c r="O223" s="5"/>
    </row>
    <row r="224" spans="1:15" x14ac:dyDescent="0.15">
      <c r="A224" s="14"/>
      <c r="C224" s="15"/>
      <c r="D224" s="5"/>
      <c r="E224" s="5"/>
      <c r="F224" s="5"/>
      <c r="G224" s="5"/>
      <c r="H224" s="5"/>
      <c r="I224" s="5"/>
      <c r="J224" s="5"/>
      <c r="K224" s="5"/>
      <c r="L224" s="5"/>
      <c r="M224" s="31"/>
      <c r="N224" s="4"/>
      <c r="O224" s="5"/>
    </row>
    <row r="225" spans="1:15" x14ac:dyDescent="0.15">
      <c r="A225" s="14"/>
      <c r="C225" s="15"/>
      <c r="D225" s="5"/>
      <c r="E225" s="5"/>
      <c r="F225" s="5"/>
      <c r="G225" s="5"/>
      <c r="H225" s="5"/>
      <c r="I225" s="5"/>
      <c r="J225" s="5"/>
      <c r="K225" s="5"/>
      <c r="L225" s="5"/>
      <c r="M225" s="31"/>
      <c r="N225" s="4"/>
      <c r="O225" s="5"/>
    </row>
    <row r="226" spans="1:15" x14ac:dyDescent="0.15">
      <c r="A226" s="14"/>
      <c r="C226" s="15"/>
      <c r="D226" s="5"/>
      <c r="E226" s="5"/>
      <c r="F226" s="5"/>
      <c r="G226" s="5"/>
      <c r="H226" s="5"/>
      <c r="I226" s="5"/>
      <c r="J226" s="5"/>
      <c r="K226" s="5"/>
      <c r="L226" s="5"/>
      <c r="M226" s="31"/>
      <c r="N226" s="4"/>
      <c r="O226" s="5"/>
    </row>
    <row r="227" spans="1:15" x14ac:dyDescent="0.15">
      <c r="A227" s="14"/>
      <c r="C227" s="15"/>
      <c r="D227" s="5"/>
      <c r="E227" s="5"/>
      <c r="F227" s="5"/>
      <c r="G227" s="5"/>
      <c r="H227" s="5"/>
      <c r="I227" s="5"/>
      <c r="J227" s="5"/>
      <c r="K227" s="10"/>
      <c r="L227" s="10"/>
      <c r="M227" s="31"/>
      <c r="N227" s="4"/>
      <c r="O227" s="5"/>
    </row>
    <row r="228" spans="1:15" x14ac:dyDescent="0.15">
      <c r="A228" s="14"/>
      <c r="C228" s="15"/>
      <c r="D228" s="5"/>
      <c r="E228" s="5"/>
      <c r="F228" s="5"/>
      <c r="G228" s="5"/>
      <c r="H228" s="5"/>
      <c r="I228" s="5"/>
      <c r="J228" s="5"/>
      <c r="K228" s="20"/>
      <c r="L228" s="20"/>
      <c r="M228" s="31"/>
      <c r="N228" s="4"/>
      <c r="O228" s="5"/>
    </row>
    <row r="229" spans="1:15" x14ac:dyDescent="0.15">
      <c r="A229" s="14"/>
      <c r="C229" s="15"/>
      <c r="D229" s="5"/>
      <c r="E229" s="5"/>
      <c r="F229" s="5"/>
      <c r="G229" s="5"/>
      <c r="H229" s="5"/>
      <c r="I229" s="5"/>
      <c r="J229" s="5"/>
      <c r="K229" s="20"/>
      <c r="L229" s="20"/>
      <c r="M229" s="31"/>
      <c r="N229" s="4"/>
      <c r="O229" s="5"/>
    </row>
    <row r="230" spans="1:15" x14ac:dyDescent="0.15">
      <c r="A230" s="14"/>
      <c r="C230" s="15"/>
      <c r="D230" s="5"/>
      <c r="E230" s="5"/>
      <c r="F230" s="5"/>
      <c r="G230" s="5"/>
      <c r="H230" s="5"/>
      <c r="I230" s="5"/>
      <c r="J230" s="5"/>
      <c r="K230" s="10"/>
      <c r="L230" s="10"/>
      <c r="M230" s="31"/>
      <c r="N230" s="4"/>
      <c r="O230" s="5"/>
    </row>
    <row r="231" spans="1:15" x14ac:dyDescent="0.15">
      <c r="A231" s="14"/>
      <c r="C231" s="15"/>
      <c r="D231" s="5"/>
      <c r="E231" s="5"/>
      <c r="F231" s="5"/>
      <c r="G231" s="5"/>
      <c r="H231" s="5"/>
      <c r="I231" s="5"/>
      <c r="J231" s="5"/>
      <c r="K231" s="5"/>
      <c r="L231" s="5"/>
      <c r="M231" s="31"/>
      <c r="N231" s="4"/>
      <c r="O231" s="5"/>
    </row>
    <row r="232" spans="1:15" x14ac:dyDescent="0.15">
      <c r="A232" s="14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"/>
      <c r="O232" s="5"/>
    </row>
    <row r="233" spans="1:15" x14ac:dyDescent="0.15">
      <c r="A233" s="14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"/>
      <c r="O233" s="5"/>
    </row>
    <row r="234" spans="1:15" x14ac:dyDescent="0.15">
      <c r="A234" s="14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"/>
      <c r="O234" s="5"/>
    </row>
    <row r="235" spans="1:15" x14ac:dyDescent="0.15">
      <c r="A235" s="14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"/>
      <c r="O235" s="5"/>
    </row>
    <row r="236" spans="1:15" x14ac:dyDescent="0.15">
      <c r="A236" s="14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"/>
      <c r="O236" s="5"/>
    </row>
    <row r="237" spans="1:15" x14ac:dyDescent="0.15">
      <c r="A237" s="14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"/>
      <c r="O237" s="5"/>
    </row>
    <row r="238" spans="1:15" x14ac:dyDescent="0.15">
      <c r="A238" s="14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"/>
      <c r="O238" s="5"/>
    </row>
    <row r="239" spans="1:15" x14ac:dyDescent="0.15">
      <c r="A239" s="14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"/>
      <c r="O239" s="5"/>
    </row>
    <row r="240" spans="1:15" x14ac:dyDescent="0.15">
      <c r="A240" s="14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4"/>
      <c r="O240" s="5"/>
    </row>
    <row r="241" spans="1:15" x14ac:dyDescent="0.15">
      <c r="A241" s="14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4"/>
      <c r="O241" s="5"/>
    </row>
    <row r="242" spans="1:15" x14ac:dyDescent="0.15">
      <c r="A242" s="14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4"/>
      <c r="O242" s="5"/>
    </row>
    <row r="243" spans="1:15" x14ac:dyDescent="0.15">
      <c r="A243" s="14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4"/>
      <c r="O243" s="5"/>
    </row>
    <row r="244" spans="1:15" x14ac:dyDescent="0.15">
      <c r="A244" s="14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4"/>
      <c r="O244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LISTBOX_DATA!$F$1:$F$2</xm:f>
          </x14:formula1>
          <xm:sqref>B14 A20:A64</xm:sqref>
        </x14:dataValidation>
        <x14:dataValidation type="list" allowBlank="1" showInputMessage="1" showErrorMessage="1">
          <x14:formula1>
            <xm:f>LISTBOX_DATA!$C$1:$C$5</xm:f>
          </x14:formula1>
          <xm:sqref>E20:E87</xm:sqref>
        </x14:dataValidation>
        <x14:dataValidation type="list" allowBlank="1" showInputMessage="1" showErrorMessage="1">
          <x14:formula1>
            <xm:f>LISTBOX_DATA!$D$1:$D$5</xm:f>
          </x14:formula1>
          <xm:sqref>H20:H87</xm:sqref>
        </x14:dataValidation>
        <x14:dataValidation type="list" allowBlank="1" showInputMessage="1" showErrorMessage="1">
          <x14:formula1>
            <xm:f>LISTBOX_DATA!$E$1:$E$4</xm:f>
          </x14:formula1>
          <xm:sqref>I20:I87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15.5" style="1" customWidth="1"/>
    <col min="17" max="16384" width="9" style="1"/>
  </cols>
  <sheetData>
    <row r="1" spans="1:15" s="42" customFormat="1" ht="31.5" x14ac:dyDescent="0.15">
      <c r="A1" s="41" t="s">
        <v>112</v>
      </c>
      <c r="N1" s="43"/>
    </row>
    <row r="2" spans="1:15" s="42" customFormat="1" x14ac:dyDescent="0.15">
      <c r="A2" s="44" t="s">
        <v>67</v>
      </c>
      <c r="N2" s="45"/>
    </row>
    <row r="3" spans="1:15" s="42" customFormat="1" x14ac:dyDescent="0.15">
      <c r="A3" s="44" t="s">
        <v>67</v>
      </c>
      <c r="N3" s="45"/>
    </row>
    <row r="4" spans="1:15" s="42" customFormat="1" x14ac:dyDescent="0.15">
      <c r="A4" s="44" t="s">
        <v>110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2">
        <f>E13-SUM(E10:E12)</f>
        <v>10</v>
      </c>
      <c r="M9" s="2"/>
      <c r="N9" s="1"/>
    </row>
    <row r="10" spans="1:15" x14ac:dyDescent="0.15">
      <c r="A10" s="6" t="s">
        <v>11</v>
      </c>
      <c r="B10" s="37" t="s">
        <v>108</v>
      </c>
      <c r="D10" s="6" t="s">
        <v>4</v>
      </c>
      <c r="E10" s="24">
        <f>COUNTIF(TestScriptTable[Result],"Passed")</f>
        <v>0</v>
      </c>
      <c r="M10" s="2"/>
      <c r="N10" s="1"/>
    </row>
    <row r="11" spans="1:15" x14ac:dyDescent="0.15">
      <c r="A11" s="6" t="s">
        <v>80</v>
      </c>
      <c r="B11" s="1">
        <v>1366</v>
      </c>
      <c r="D11" s="6" t="s">
        <v>5</v>
      </c>
      <c r="E11" s="23">
        <f>COUNTIF(TestScriptTable[Result],"Failed")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1">
        <f>COUNTIF(TestScriptTable[Result],"Skipped*")</f>
        <v>0</v>
      </c>
      <c r="M12" s="2"/>
      <c r="N12" s="1"/>
    </row>
    <row r="13" spans="1:15" x14ac:dyDescent="0.15">
      <c r="A13" s="6" t="s">
        <v>29</v>
      </c>
      <c r="B13" s="1" t="s">
        <v>109</v>
      </c>
      <c r="D13" s="6" t="s">
        <v>6</v>
      </c>
      <c r="E13" s="8">
        <f>COUNTA(TestScriptTable[runTarget])+COUNTBLANK(TestScriptTable[runTarget])</f>
        <v>10</v>
      </c>
      <c r="M13" s="2"/>
      <c r="N13" s="1"/>
    </row>
    <row r="14" spans="1:15" x14ac:dyDescent="0.15">
      <c r="A14" s="6" t="s">
        <v>75</v>
      </c>
      <c r="B14" s="1" t="s">
        <v>76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3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6"/>
      <c r="C21" s="15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6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6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6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6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6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6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6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6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6"/>
      <c r="C30" s="15"/>
      <c r="D30" s="5"/>
      <c r="E30" s="5"/>
      <c r="F30" s="5"/>
      <c r="G30" s="5"/>
      <c r="H30" s="5"/>
      <c r="I30" s="5"/>
      <c r="J30" s="5"/>
      <c r="K30" s="5"/>
      <c r="L30" s="5"/>
      <c r="M30" s="31"/>
      <c r="N30" s="4"/>
      <c r="O30" s="5"/>
    </row>
    <row r="31" spans="1:16" ht="21.75" customHeight="1" x14ac:dyDescent="0.15">
      <c r="A31" s="26"/>
      <c r="C31" s="15"/>
      <c r="D31" s="5"/>
      <c r="E31" s="5"/>
      <c r="F31" s="5"/>
      <c r="G31" s="5"/>
      <c r="H31" s="5"/>
      <c r="I31" s="5"/>
      <c r="J31" s="5"/>
      <c r="K31" s="5"/>
      <c r="L31" s="5"/>
      <c r="M31" s="31"/>
      <c r="N31" s="4"/>
      <c r="O31" s="5"/>
    </row>
    <row r="32" spans="1:16" ht="21.75" customHeight="1" x14ac:dyDescent="0.15">
      <c r="A32" s="26"/>
      <c r="C32" s="15"/>
      <c r="D32" s="5"/>
      <c r="E32" s="5"/>
      <c r="F32" s="5"/>
      <c r="G32" s="5"/>
      <c r="H32" s="5"/>
      <c r="I32" s="5"/>
      <c r="J32" s="5"/>
      <c r="K32" s="5"/>
      <c r="L32" s="5"/>
      <c r="M32" s="31"/>
      <c r="N32" s="4"/>
      <c r="O32" s="5"/>
    </row>
    <row r="33" spans="1:15" ht="21.75" customHeight="1" x14ac:dyDescent="0.15">
      <c r="A33" s="26"/>
      <c r="C33" s="15"/>
      <c r="D33" s="5"/>
      <c r="E33" s="5"/>
      <c r="F33" s="5"/>
      <c r="G33" s="5"/>
      <c r="H33" s="5"/>
      <c r="I33" s="5"/>
      <c r="J33" s="5"/>
      <c r="K33" s="5"/>
      <c r="L33" s="5"/>
      <c r="M33" s="31"/>
      <c r="N33" s="4"/>
      <c r="O33" s="5"/>
    </row>
    <row r="34" spans="1:15" ht="21.75" customHeight="1" x14ac:dyDescent="0.15">
      <c r="A34" s="26"/>
      <c r="C34" s="15"/>
      <c r="D34" s="5"/>
      <c r="E34" s="5"/>
      <c r="F34" s="5"/>
      <c r="G34" s="5"/>
      <c r="H34" s="5"/>
      <c r="I34" s="5"/>
      <c r="J34" s="5"/>
      <c r="K34" s="5"/>
      <c r="L34" s="5"/>
      <c r="M34" s="31"/>
      <c r="N34" s="4"/>
      <c r="O34" s="5"/>
    </row>
    <row r="35" spans="1:15" ht="21.75" customHeight="1" x14ac:dyDescent="0.15">
      <c r="A35" s="26"/>
      <c r="C35" s="15"/>
      <c r="D35" s="5"/>
      <c r="E35" s="5"/>
      <c r="F35" s="5"/>
      <c r="G35" s="5"/>
      <c r="H35" s="5"/>
      <c r="I35" s="5"/>
      <c r="J35" s="5"/>
      <c r="K35" s="5"/>
      <c r="L35" s="5"/>
      <c r="M35" s="31"/>
      <c r="N35" s="4"/>
      <c r="O35" s="5"/>
    </row>
    <row r="36" spans="1:15" ht="21.75" customHeight="1" x14ac:dyDescent="0.15">
      <c r="A36" s="26"/>
      <c r="C36" s="15"/>
      <c r="D36" s="5"/>
      <c r="E36" s="5"/>
      <c r="F36" s="5"/>
      <c r="G36" s="5"/>
      <c r="H36" s="5"/>
      <c r="I36" s="5"/>
      <c r="J36" s="5"/>
      <c r="K36" s="5"/>
      <c r="L36" s="5"/>
      <c r="M36" s="31"/>
      <c r="N36" s="4"/>
      <c r="O36" s="5"/>
    </row>
    <row r="37" spans="1:15" ht="21.75" customHeight="1" x14ac:dyDescent="0.15">
      <c r="A37" s="26"/>
      <c r="C37" s="15"/>
      <c r="D37" s="5"/>
      <c r="E37" s="5"/>
      <c r="F37" s="5"/>
      <c r="G37" s="25"/>
      <c r="H37" s="5"/>
      <c r="I37" s="5"/>
      <c r="J37" s="5"/>
      <c r="K37" s="5"/>
      <c r="L37" s="5"/>
      <c r="M37" s="31"/>
      <c r="N37" s="4"/>
      <c r="O37" s="5"/>
    </row>
    <row r="38" spans="1:15" ht="21.75" customHeight="1" x14ac:dyDescent="0.15">
      <c r="A38" s="26"/>
      <c r="C38" s="15"/>
      <c r="D38" s="5"/>
      <c r="E38" s="5"/>
      <c r="F38" s="5"/>
      <c r="G38" s="5"/>
      <c r="H38" s="5"/>
      <c r="I38" s="5"/>
      <c r="J38" s="5"/>
      <c r="K38" s="5"/>
      <c r="L38" s="5"/>
      <c r="M38" s="31"/>
      <c r="N38" s="4"/>
      <c r="O38" s="5"/>
    </row>
    <row r="39" spans="1:15" ht="21.75" customHeight="1" x14ac:dyDescent="0.15">
      <c r="A39" s="26"/>
      <c r="C39" s="15"/>
      <c r="D39" s="5"/>
      <c r="E39" s="5"/>
      <c r="F39" s="5"/>
      <c r="G39" s="5"/>
      <c r="H39" s="5"/>
      <c r="I39" s="5"/>
      <c r="J39" s="5"/>
      <c r="K39" s="5"/>
      <c r="L39" s="5"/>
      <c r="M39" s="31"/>
      <c r="N39" s="4"/>
      <c r="O39" s="5"/>
    </row>
    <row r="40" spans="1:15" ht="21.75" customHeight="1" x14ac:dyDescent="0.15">
      <c r="A40" s="26"/>
      <c r="C40" s="15"/>
      <c r="D40" s="5"/>
      <c r="E40" s="5"/>
      <c r="F40" s="5"/>
      <c r="G40" s="27"/>
      <c r="H40" s="5"/>
      <c r="I40" s="5"/>
      <c r="J40" s="5"/>
      <c r="K40" s="5"/>
      <c r="L40" s="5"/>
      <c r="M40" s="31"/>
      <c r="N40" s="4"/>
      <c r="O40" s="5"/>
    </row>
    <row r="41" spans="1:15" ht="21.75" customHeight="1" x14ac:dyDescent="0.15">
      <c r="A41" s="26"/>
      <c r="C41" s="15"/>
      <c r="D41" s="5"/>
      <c r="E41" s="5"/>
      <c r="F41" s="5"/>
      <c r="G41" s="27"/>
      <c r="H41" s="5"/>
      <c r="I41" s="5"/>
      <c r="J41" s="5"/>
      <c r="K41" s="5"/>
      <c r="L41" s="5"/>
      <c r="M41" s="31"/>
      <c r="N41" s="4"/>
      <c r="O41" s="5"/>
    </row>
    <row r="42" spans="1:15" ht="21.75" customHeight="1" x14ac:dyDescent="0.15">
      <c r="A42" s="26"/>
      <c r="C42" s="15"/>
      <c r="D42" s="5"/>
      <c r="E42" s="5"/>
      <c r="F42" s="5"/>
      <c r="G42" s="27"/>
      <c r="H42" s="5"/>
      <c r="I42" s="5"/>
      <c r="J42" s="5"/>
      <c r="K42" s="5"/>
      <c r="L42" s="5"/>
      <c r="M42" s="31"/>
      <c r="N42" s="4"/>
      <c r="O42" s="5"/>
    </row>
    <row r="43" spans="1:15" ht="21.75" customHeight="1" x14ac:dyDescent="0.15">
      <c r="A43" s="26"/>
      <c r="C43" s="15"/>
      <c r="D43" s="5"/>
      <c r="E43" s="5"/>
      <c r="F43" s="5"/>
      <c r="G43" s="28"/>
      <c r="H43" s="5"/>
      <c r="I43" s="5"/>
      <c r="J43" s="5"/>
      <c r="K43" s="5"/>
      <c r="L43" s="5"/>
      <c r="M43" s="31"/>
      <c r="N43" s="4"/>
      <c r="O43" s="5"/>
    </row>
    <row r="44" spans="1:15" ht="21.75" customHeight="1" x14ac:dyDescent="0.15">
      <c r="A44" s="26"/>
      <c r="C44" s="15"/>
      <c r="D44" s="5"/>
      <c r="E44" s="5"/>
      <c r="F44" s="5"/>
      <c r="G44" s="28"/>
      <c r="H44" s="5"/>
      <c r="I44" s="5"/>
      <c r="J44" s="5"/>
      <c r="K44" s="5"/>
      <c r="L44" s="5"/>
      <c r="M44" s="31"/>
      <c r="N44" s="4"/>
      <c r="O44" s="5"/>
    </row>
    <row r="45" spans="1:15" ht="21.75" customHeight="1" x14ac:dyDescent="0.15">
      <c r="A45" s="26"/>
      <c r="C45" s="15"/>
      <c r="D45" s="5"/>
      <c r="E45" s="5"/>
      <c r="F45" s="5"/>
      <c r="G45" s="28"/>
      <c r="H45" s="5"/>
      <c r="I45" s="5"/>
      <c r="J45" s="5"/>
      <c r="K45" s="5"/>
      <c r="L45" s="5"/>
      <c r="M45" s="31"/>
      <c r="N45" s="4"/>
      <c r="O45" s="5"/>
    </row>
    <row r="46" spans="1:15" ht="21.75" customHeight="1" x14ac:dyDescent="0.15">
      <c r="A46" s="26"/>
      <c r="C46" s="15"/>
      <c r="D46" s="5"/>
      <c r="E46" s="5"/>
      <c r="F46" s="5"/>
      <c r="G46" s="28"/>
      <c r="H46" s="5"/>
      <c r="I46" s="5"/>
      <c r="J46" s="5"/>
      <c r="K46" s="5"/>
      <c r="L46" s="5"/>
      <c r="M46" s="31"/>
      <c r="N46" s="4"/>
      <c r="O46" s="5"/>
    </row>
    <row r="47" spans="1:15" ht="21.75" customHeight="1" x14ac:dyDescent="0.15">
      <c r="A47" s="26"/>
      <c r="C47" s="15"/>
      <c r="D47" s="5"/>
      <c r="E47" s="5"/>
      <c r="F47" s="5"/>
      <c r="G47" s="27"/>
      <c r="H47" s="5"/>
      <c r="I47" s="5"/>
      <c r="J47" s="5"/>
      <c r="K47" s="5"/>
      <c r="L47" s="5"/>
      <c r="M47" s="31"/>
      <c r="N47" s="4"/>
      <c r="O47" s="5"/>
    </row>
    <row r="48" spans="1:15" ht="21.75" customHeight="1" x14ac:dyDescent="0.15">
      <c r="A48" s="26"/>
      <c r="C48" s="15"/>
      <c r="D48" s="5"/>
      <c r="E48" s="5"/>
      <c r="F48" s="5"/>
      <c r="G48" s="5"/>
      <c r="H48" s="5"/>
      <c r="I48" s="5"/>
      <c r="J48" s="5"/>
      <c r="K48" s="5"/>
      <c r="L48" s="5"/>
      <c r="M48" s="31"/>
      <c r="N48" s="4"/>
      <c r="O48" s="5"/>
    </row>
    <row r="49" spans="1:15" ht="21.75" customHeight="1" x14ac:dyDescent="0.15">
      <c r="A49" s="26"/>
      <c r="C49" s="15"/>
      <c r="D49" s="5"/>
      <c r="E49" s="5"/>
      <c r="F49" s="5"/>
      <c r="G49" s="5"/>
      <c r="H49" s="5"/>
      <c r="I49" s="5"/>
      <c r="J49" s="5"/>
      <c r="K49" s="5"/>
      <c r="L49" s="5"/>
      <c r="M49" s="31"/>
      <c r="N49" s="4"/>
      <c r="O49" s="5"/>
    </row>
    <row r="50" spans="1:15" ht="21.75" customHeight="1" x14ac:dyDescent="0.15">
      <c r="A50" s="26"/>
      <c r="C50" s="15"/>
      <c r="D50" s="5"/>
      <c r="E50" s="5"/>
      <c r="F50" s="5"/>
      <c r="G50" s="5"/>
      <c r="H50" s="5"/>
      <c r="I50" s="5"/>
      <c r="J50" s="5"/>
      <c r="K50" s="5"/>
      <c r="L50" s="5"/>
      <c r="M50" s="31"/>
      <c r="N50" s="4"/>
      <c r="O50" s="5"/>
    </row>
    <row r="51" spans="1:15" ht="21.75" customHeight="1" x14ac:dyDescent="0.15">
      <c r="A51" s="26"/>
      <c r="C51" s="15"/>
      <c r="D51" s="5"/>
      <c r="E51" s="5"/>
      <c r="F51" s="5"/>
      <c r="G51" s="5"/>
      <c r="H51" s="5"/>
      <c r="I51" s="5"/>
      <c r="J51" s="5"/>
      <c r="K51" s="5"/>
      <c r="L51" s="5"/>
      <c r="M51" s="31"/>
      <c r="N51" s="4"/>
      <c r="O51" s="5"/>
    </row>
    <row r="52" spans="1:15" ht="21.75" customHeight="1" x14ac:dyDescent="0.15">
      <c r="A52" s="26"/>
      <c r="C52" s="15"/>
      <c r="D52" s="5"/>
      <c r="E52" s="5"/>
      <c r="F52" s="5"/>
      <c r="G52" s="27"/>
      <c r="H52" s="5"/>
      <c r="I52" s="5"/>
      <c r="J52" s="5"/>
      <c r="K52" s="5"/>
      <c r="L52" s="5"/>
      <c r="M52" s="31"/>
      <c r="N52" s="4"/>
      <c r="O52" s="5"/>
    </row>
    <row r="53" spans="1:15" ht="21.75" customHeight="1" x14ac:dyDescent="0.15">
      <c r="A53" s="26"/>
      <c r="C53" s="15"/>
      <c r="D53" s="5"/>
      <c r="E53" s="5"/>
      <c r="F53" s="5"/>
      <c r="G53" s="5"/>
      <c r="H53" s="5"/>
      <c r="I53" s="5"/>
      <c r="J53" s="5"/>
      <c r="K53" s="5"/>
      <c r="L53" s="5"/>
      <c r="M53" s="31"/>
      <c r="N53" s="4"/>
      <c r="O53" s="5"/>
    </row>
    <row r="54" spans="1:15" ht="21.75" customHeight="1" x14ac:dyDescent="0.15">
      <c r="A54" s="26"/>
      <c r="C54" s="15"/>
      <c r="D54" s="5"/>
      <c r="E54" s="5"/>
      <c r="F54" s="5"/>
      <c r="G54" s="5"/>
      <c r="H54" s="5"/>
      <c r="I54" s="5"/>
      <c r="J54" s="5"/>
      <c r="K54" s="5"/>
      <c r="L54" s="5"/>
      <c r="M54" s="31"/>
      <c r="N54" s="4"/>
      <c r="O54" s="5"/>
    </row>
    <row r="55" spans="1:15" ht="21.75" customHeight="1" x14ac:dyDescent="0.15">
      <c r="A55" s="26"/>
      <c r="C55" s="15"/>
      <c r="D55" s="5"/>
      <c r="E55" s="5"/>
      <c r="F55" s="5"/>
      <c r="G55" s="5"/>
      <c r="H55" s="5"/>
      <c r="I55" s="5"/>
      <c r="J55" s="5"/>
      <c r="K55" s="5"/>
      <c r="L55" s="5"/>
      <c r="M55" s="31"/>
      <c r="N55" s="4"/>
      <c r="O55" s="5"/>
    </row>
    <row r="56" spans="1:15" ht="21.75" customHeight="1" x14ac:dyDescent="0.15">
      <c r="A56" s="26"/>
      <c r="C56" s="15"/>
      <c r="D56" s="5"/>
      <c r="E56" s="5"/>
      <c r="F56" s="5"/>
      <c r="G56" s="5"/>
      <c r="H56" s="5"/>
      <c r="I56" s="5"/>
      <c r="J56" s="5"/>
      <c r="K56" s="5"/>
      <c r="L56" s="5"/>
      <c r="M56" s="31"/>
      <c r="N56" s="4"/>
      <c r="O56" s="5"/>
    </row>
    <row r="57" spans="1:15" ht="21.75" customHeight="1" x14ac:dyDescent="0.15">
      <c r="A57" s="26"/>
      <c r="C57" s="15"/>
      <c r="D57" s="5"/>
      <c r="E57" s="5"/>
      <c r="F57" s="5"/>
      <c r="G57" s="5"/>
      <c r="H57" s="5"/>
      <c r="I57" s="5"/>
      <c r="J57" s="5"/>
      <c r="K57" s="5"/>
      <c r="L57" s="5"/>
      <c r="M57" s="31"/>
      <c r="N57" s="4"/>
      <c r="O57" s="5"/>
    </row>
    <row r="58" spans="1:15" ht="21.75" customHeight="1" x14ac:dyDescent="0.15">
      <c r="A58" s="26"/>
      <c r="C58" s="15"/>
      <c r="D58" s="5"/>
      <c r="E58" s="5"/>
      <c r="F58" s="5"/>
      <c r="G58" s="5"/>
      <c r="H58" s="5"/>
      <c r="I58" s="5"/>
      <c r="J58" s="5"/>
      <c r="K58" s="5"/>
      <c r="L58" s="5"/>
      <c r="M58" s="31"/>
      <c r="N58" s="4"/>
      <c r="O58" s="5"/>
    </row>
    <row r="59" spans="1:15" ht="21.75" customHeight="1" x14ac:dyDescent="0.15">
      <c r="A59" s="26"/>
      <c r="C59" s="15"/>
      <c r="D59" s="5"/>
      <c r="E59" s="5"/>
      <c r="F59" s="5"/>
      <c r="G59" s="5"/>
      <c r="H59" s="5"/>
      <c r="I59" s="5"/>
      <c r="J59" s="5"/>
      <c r="K59" s="5"/>
      <c r="L59" s="5"/>
      <c r="M59" s="31"/>
      <c r="N59" s="4"/>
      <c r="O59" s="5"/>
    </row>
    <row r="60" spans="1:15" ht="21.75" customHeight="1" x14ac:dyDescent="0.15">
      <c r="A60" s="26"/>
      <c r="C60" s="15"/>
      <c r="D60" s="5"/>
      <c r="E60" s="5"/>
      <c r="F60" s="5"/>
      <c r="G60" s="5"/>
      <c r="H60" s="5"/>
      <c r="I60" s="5"/>
      <c r="J60" s="5"/>
      <c r="K60" s="5"/>
      <c r="L60" s="5"/>
      <c r="M60" s="31"/>
      <c r="N60" s="4"/>
      <c r="O60" s="5"/>
    </row>
    <row r="61" spans="1:15" ht="21.75" customHeight="1" x14ac:dyDescent="0.15">
      <c r="A61" s="26"/>
      <c r="C61" s="15"/>
      <c r="D61" s="5"/>
      <c r="E61" s="5"/>
      <c r="F61" s="5"/>
      <c r="G61" s="5"/>
      <c r="H61" s="5"/>
      <c r="I61" s="5"/>
      <c r="J61" s="5"/>
      <c r="K61" s="29"/>
      <c r="L61" s="5"/>
      <c r="M61" s="31"/>
      <c r="N61" s="4"/>
      <c r="O61" s="5"/>
    </row>
    <row r="62" spans="1:15" ht="21.75" customHeight="1" x14ac:dyDescent="0.15">
      <c r="A62" s="26"/>
      <c r="C62" s="15"/>
      <c r="D62" s="5"/>
      <c r="E62" s="5"/>
      <c r="F62" s="5"/>
      <c r="G62" s="5"/>
      <c r="H62" s="5"/>
      <c r="I62" s="5"/>
      <c r="J62" s="5"/>
      <c r="K62" s="5"/>
      <c r="L62" s="5"/>
      <c r="M62" s="31"/>
      <c r="N62" s="4"/>
      <c r="O62" s="5"/>
    </row>
    <row r="63" spans="1:15" ht="21.75" customHeight="1" x14ac:dyDescent="0.15">
      <c r="A63" s="26"/>
      <c r="C63" s="15"/>
      <c r="D63" s="5"/>
      <c r="E63" s="5"/>
      <c r="F63" s="5"/>
      <c r="G63" s="5"/>
      <c r="H63" s="5"/>
      <c r="I63" s="5"/>
      <c r="J63" s="5"/>
      <c r="K63" s="5"/>
      <c r="L63" s="5"/>
      <c r="M63" s="31"/>
      <c r="N63" s="4"/>
      <c r="O63" s="5"/>
    </row>
    <row r="64" spans="1:15" ht="21.75" customHeight="1" x14ac:dyDescent="0.15">
      <c r="A64" s="26"/>
      <c r="C64" s="15"/>
      <c r="D64" s="5"/>
      <c r="E64" s="5"/>
      <c r="F64" s="5"/>
      <c r="G64" s="5"/>
      <c r="H64" s="5"/>
      <c r="I64" s="5"/>
      <c r="J64" s="5"/>
      <c r="K64" s="5"/>
      <c r="L64" s="5"/>
      <c r="M64" s="31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1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1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1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1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1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1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1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1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1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1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1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1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1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1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1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1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1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1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1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1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1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1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1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1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1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1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1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1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1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1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1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1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1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1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1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1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0"/>
  <sheetViews>
    <sheetView zoomScaleNormal="100" workbookViewId="0">
      <selection activeCell="I27" sqref="I27"/>
    </sheetView>
  </sheetViews>
  <sheetFormatPr defaultColWidth="9" defaultRowHeight="15" x14ac:dyDescent="0.15"/>
  <cols>
    <col min="1" max="1" width="11.875" style="37" customWidth="1"/>
    <col min="2" max="2" width="25.375" style="37" customWidth="1"/>
    <col min="3" max="3" width="12" style="37" bestFit="1" customWidth="1"/>
    <col min="4" max="4" width="8.875" style="37" bestFit="1" customWidth="1"/>
    <col min="5" max="5" width="8.25" style="37" bestFit="1" customWidth="1"/>
    <col min="6" max="6" width="9.75" style="37" bestFit="1" customWidth="1"/>
    <col min="7" max="7" width="7.375" style="37" bestFit="1" customWidth="1"/>
    <col min="8" max="8" width="15.5" style="37" customWidth="1"/>
    <col min="9" max="9" width="19.25" style="37" customWidth="1"/>
    <col min="10" max="16384" width="9" style="37"/>
  </cols>
  <sheetData>
    <row r="1" spans="1:14" s="47" customFormat="1" ht="31.5" x14ac:dyDescent="0.15">
      <c r="A1" s="46" t="s">
        <v>111</v>
      </c>
      <c r="N1" s="48"/>
    </row>
    <row r="2" spans="1:14" s="47" customFormat="1" x14ac:dyDescent="0.15">
      <c r="A2" s="49" t="s">
        <v>119</v>
      </c>
      <c r="N2" s="50"/>
    </row>
    <row r="3" spans="1:14" s="47" customFormat="1" x14ac:dyDescent="0.15">
      <c r="A3" s="49" t="s">
        <v>118</v>
      </c>
      <c r="N3" s="50"/>
    </row>
    <row r="4" spans="1:14" s="47" customFormat="1" x14ac:dyDescent="0.15">
      <c r="A4" s="49" t="s">
        <v>120</v>
      </c>
      <c r="N4" s="50"/>
    </row>
    <row r="5" spans="1:14" s="1" customFormat="1" x14ac:dyDescent="0.15">
      <c r="A5" s="3"/>
      <c r="N5" s="2"/>
    </row>
    <row r="6" spans="1:14" s="1" customFormat="1" x14ac:dyDescent="0.15">
      <c r="A6" s="3"/>
      <c r="N6" s="2"/>
    </row>
    <row r="7" spans="1:14" s="1" customFormat="1" x14ac:dyDescent="0.15">
      <c r="A7" s="3"/>
      <c r="N7" s="2"/>
    </row>
    <row r="8" spans="1:14" s="1" customFormat="1" x14ac:dyDescent="0.15">
      <c r="A8" s="37" t="s">
        <v>104</v>
      </c>
      <c r="B8" s="37" t="s">
        <v>105</v>
      </c>
      <c r="N8" s="2"/>
    </row>
    <row r="9" spans="1:14" x14ac:dyDescent="0.15">
      <c r="A9" s="37" t="s">
        <v>73</v>
      </c>
      <c r="B9" s="35">
        <f>SUM(batchRunTBL[Not Tested])</f>
        <v>26</v>
      </c>
    </row>
    <row r="10" spans="1:14" x14ac:dyDescent="0.15">
      <c r="A10" s="37" t="s">
        <v>97</v>
      </c>
      <c r="B10" s="32">
        <f>SUM(batchRunTBL[Passed])</f>
        <v>44</v>
      </c>
    </row>
    <row r="11" spans="1:14" x14ac:dyDescent="0.15">
      <c r="A11" s="37" t="s">
        <v>98</v>
      </c>
      <c r="B11" s="33">
        <f>SUM(batchRunTBL[Failed])</f>
        <v>1</v>
      </c>
    </row>
    <row r="12" spans="1:14" x14ac:dyDescent="0.15">
      <c r="A12" s="37" t="s">
        <v>101</v>
      </c>
      <c r="B12" s="34">
        <f>SUM(batchRunTBL[Skipped])</f>
        <v>0</v>
      </c>
    </row>
    <row r="13" spans="1:14" x14ac:dyDescent="0.15">
      <c r="A13" s="37" t="s">
        <v>102</v>
      </c>
      <c r="B13" s="37">
        <f>SUM(batchRunTBL[Total])</f>
        <v>71</v>
      </c>
    </row>
    <row r="14" spans="1:14" x14ac:dyDescent="0.15">
      <c r="A14" s="37" t="s">
        <v>106</v>
      </c>
      <c r="B14" s="51">
        <f>(B13-B9)/B13</f>
        <v>0.63380281690140849</v>
      </c>
    </row>
    <row r="16" spans="1:14" ht="21" x14ac:dyDescent="0.15">
      <c r="A16" s="12" t="s">
        <v>99</v>
      </c>
    </row>
    <row r="17" spans="1:9" x14ac:dyDescent="0.15">
      <c r="A17" s="37" t="s">
        <v>114</v>
      </c>
      <c r="B17" s="37" t="s">
        <v>100</v>
      </c>
      <c r="C17" s="37" t="s">
        <v>73</v>
      </c>
      <c r="D17" s="37" t="s">
        <v>97</v>
      </c>
      <c r="E17" s="37" t="s">
        <v>98</v>
      </c>
      <c r="F17" s="37" t="s">
        <v>101</v>
      </c>
      <c r="G17" s="37" t="s">
        <v>102</v>
      </c>
      <c r="H17" s="37" t="s">
        <v>57</v>
      </c>
      <c r="I17" s="37" t="s">
        <v>103</v>
      </c>
    </row>
    <row r="18" spans="1:9" x14ac:dyDescent="0.15">
      <c r="A18" s="37" t="s">
        <v>76</v>
      </c>
      <c r="B18" s="37" t="s">
        <v>116</v>
      </c>
      <c r="C18" s="37">
        <v>0</v>
      </c>
      <c r="D18" s="37">
        <v>44</v>
      </c>
      <c r="E18" s="37">
        <v>1</v>
      </c>
      <c r="F18" s="37">
        <v>0</v>
      </c>
      <c r="G18" s="37">
        <v>45</v>
      </c>
      <c r="H18" s="37" t="s">
        <v>115</v>
      </c>
      <c r="I18" s="4"/>
    </row>
    <row r="19" spans="1:9" x14ac:dyDescent="0.15">
      <c r="A19" s="37" t="s">
        <v>76</v>
      </c>
      <c r="B19" s="37" t="s">
        <v>117</v>
      </c>
      <c r="C19" s="37">
        <v>10</v>
      </c>
      <c r="D19" s="37">
        <v>0</v>
      </c>
      <c r="E19" s="37">
        <v>0</v>
      </c>
      <c r="F19" s="37">
        <v>0</v>
      </c>
      <c r="G19" s="37">
        <v>10</v>
      </c>
      <c r="H19" s="37" t="s">
        <v>115</v>
      </c>
    </row>
    <row r="20" spans="1:9" x14ac:dyDescent="0.15">
      <c r="B20" s="37" t="s">
        <v>267</v>
      </c>
      <c r="C20" s="37">
        <v>16</v>
      </c>
      <c r="D20" s="37">
        <v>0</v>
      </c>
      <c r="E20" s="37">
        <v>0</v>
      </c>
      <c r="F20" s="37">
        <v>0</v>
      </c>
      <c r="G20" s="37">
        <v>16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A18:A20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2" customFormat="1" ht="31.5" x14ac:dyDescent="0.15">
      <c r="A1" s="41" t="s">
        <v>235</v>
      </c>
      <c r="N1" s="43"/>
    </row>
    <row r="2" spans="1:15" s="42" customFormat="1" x14ac:dyDescent="0.15">
      <c r="A2" s="44" t="s">
        <v>236</v>
      </c>
      <c r="N2" s="45"/>
    </row>
    <row r="3" spans="1:15" s="42" customFormat="1" x14ac:dyDescent="0.15">
      <c r="A3" s="44" t="s">
        <v>237</v>
      </c>
      <c r="N3" s="45"/>
    </row>
    <row r="4" spans="1:15" s="42" customFormat="1" x14ac:dyDescent="0.15">
      <c r="A4" s="52" t="s">
        <v>238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246</v>
      </c>
      <c r="D9" s="6" t="s">
        <v>73</v>
      </c>
      <c r="E9" s="22">
        <f>E13-SUM(E10:E12)</f>
        <v>2</v>
      </c>
      <c r="M9" s="2"/>
      <c r="N9" s="1"/>
    </row>
    <row r="10" spans="1:15" x14ac:dyDescent="0.15">
      <c r="A10" s="6" t="s">
        <v>11</v>
      </c>
      <c r="B10" s="37" t="s">
        <v>239</v>
      </c>
      <c r="D10" s="6" t="s">
        <v>4</v>
      </c>
      <c r="E10" s="24">
        <f>COUNTIF(TestScriptTable19[Result],"Passed")</f>
        <v>0</v>
      </c>
      <c r="M10" s="2"/>
      <c r="N10" s="1"/>
    </row>
    <row r="11" spans="1:15" x14ac:dyDescent="0.15">
      <c r="A11" s="6" t="s">
        <v>80</v>
      </c>
      <c r="B11" s="1">
        <v>900</v>
      </c>
      <c r="D11" s="6" t="s">
        <v>5</v>
      </c>
      <c r="E11" s="23">
        <f>COUNTIF(TestScriptTable19[Result],"Failed")</f>
        <v>0</v>
      </c>
      <c r="M11" s="2"/>
      <c r="N11" s="1"/>
    </row>
    <row r="12" spans="1:15" x14ac:dyDescent="0.15">
      <c r="A12" s="6" t="s">
        <v>81</v>
      </c>
      <c r="B12" s="1">
        <v>700</v>
      </c>
      <c r="D12" s="6" t="s">
        <v>8</v>
      </c>
      <c r="E12" s="21">
        <f>COUNTIF(TestScriptTable19[Result],"Skipped*")</f>
        <v>0</v>
      </c>
      <c r="M12" s="2"/>
      <c r="N12" s="1"/>
    </row>
    <row r="13" spans="1:15" x14ac:dyDescent="0.15">
      <c r="A13" s="6" t="s">
        <v>29</v>
      </c>
      <c r="D13" s="6" t="s">
        <v>6</v>
      </c>
      <c r="E13" s="8">
        <f>COUNTA(TestScriptTable19[runTarget])+COUNTBLANK(TestScriptTable19[runTarget])</f>
        <v>2</v>
      </c>
      <c r="M13" s="2"/>
      <c r="N13" s="1"/>
    </row>
    <row r="14" spans="1:15" x14ac:dyDescent="0.15">
      <c r="A14" s="6" t="s">
        <v>75</v>
      </c>
      <c r="B14" s="1" t="s">
        <v>79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3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 t="s">
        <v>76</v>
      </c>
      <c r="B20" s="1" t="s">
        <v>240</v>
      </c>
      <c r="C20" s="1" t="s">
        <v>241</v>
      </c>
      <c r="D20" s="5" t="s">
        <v>37</v>
      </c>
      <c r="E20" s="5"/>
      <c r="F20" s="5" t="s">
        <v>242</v>
      </c>
      <c r="G20" s="5"/>
      <c r="H20" s="5" t="s">
        <v>44</v>
      </c>
      <c r="I20" s="5" t="s">
        <v>49</v>
      </c>
      <c r="J20" s="5" t="s">
        <v>243</v>
      </c>
      <c r="K20" s="5" t="s">
        <v>245</v>
      </c>
      <c r="L20" s="5"/>
      <c r="M20"/>
      <c r="N20" s="4"/>
      <c r="O20" s="5"/>
    </row>
    <row r="21" spans="1:16" ht="21.75" customHeight="1" x14ac:dyDescent="0.15">
      <c r="A21" s="26" t="s">
        <v>76</v>
      </c>
      <c r="C21" s="15" t="s">
        <v>244</v>
      </c>
      <c r="D21" s="5" t="s">
        <v>48</v>
      </c>
      <c r="E21" s="5"/>
      <c r="F21" s="5"/>
      <c r="G21" s="5">
        <v>10000</v>
      </c>
      <c r="H21" s="5" t="s">
        <v>42</v>
      </c>
      <c r="I21" s="5"/>
      <c r="J21" s="5"/>
      <c r="K21" s="5" t="str">
        <f>"Release " &amp;K20 &amp; " · ssugiya/Spreadsheetnium · GitHub"</f>
        <v>Release v0.0.4 · ssugiya/Spreadsheetnium · GitHub</v>
      </c>
      <c r="L21" s="5"/>
      <c r="M21"/>
      <c r="N21" s="4"/>
      <c r="O21" s="5"/>
    </row>
    <row r="22" spans="1:16" ht="21.75" customHeight="1" x14ac:dyDescent="0.15">
      <c r="A22" s="26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6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6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6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6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6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6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6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6"/>
      <c r="C30" s="15"/>
      <c r="D30" s="5"/>
      <c r="E30" s="5"/>
      <c r="F30" s="5"/>
      <c r="G30" s="5"/>
      <c r="H30" s="5"/>
      <c r="I30" s="5"/>
      <c r="J30" s="5"/>
      <c r="K30" s="5"/>
      <c r="L30" s="5"/>
      <c r="M30" s="31"/>
      <c r="N30" s="4"/>
      <c r="O30" s="5"/>
    </row>
    <row r="31" spans="1:16" ht="21.75" customHeight="1" x14ac:dyDescent="0.15">
      <c r="A31" s="26"/>
      <c r="C31" s="15"/>
      <c r="D31" s="5"/>
      <c r="E31" s="5"/>
      <c r="F31" s="5"/>
      <c r="G31" s="5"/>
      <c r="H31" s="5"/>
      <c r="I31" s="5"/>
      <c r="J31" s="5"/>
      <c r="K31" s="5"/>
      <c r="L31" s="5"/>
      <c r="M31" s="31"/>
      <c r="N31" s="4"/>
      <c r="O31" s="5"/>
    </row>
    <row r="32" spans="1:16" ht="21.75" customHeight="1" x14ac:dyDescent="0.15">
      <c r="A32" s="26"/>
      <c r="C32" s="15"/>
      <c r="D32" s="5"/>
      <c r="E32" s="5"/>
      <c r="F32" s="5"/>
      <c r="G32" s="5"/>
      <c r="H32" s="5"/>
      <c r="I32" s="5"/>
      <c r="J32" s="5"/>
      <c r="K32" s="5"/>
      <c r="L32" s="5"/>
      <c r="M32" s="31"/>
      <c r="N32" s="4"/>
      <c r="O32" s="5"/>
    </row>
    <row r="33" spans="1:15" ht="21.75" customHeight="1" x14ac:dyDescent="0.15">
      <c r="A33" s="26"/>
      <c r="C33" s="15"/>
      <c r="D33" s="5"/>
      <c r="E33" s="5"/>
      <c r="F33" s="5"/>
      <c r="G33" s="5"/>
      <c r="H33" s="5"/>
      <c r="I33" s="5"/>
      <c r="J33" s="5"/>
      <c r="K33" s="5"/>
      <c r="L33" s="5"/>
      <c r="M33" s="31"/>
      <c r="N33" s="4"/>
      <c r="O33" s="5"/>
    </row>
    <row r="34" spans="1:15" ht="21.75" customHeight="1" x14ac:dyDescent="0.15">
      <c r="A34" s="26"/>
      <c r="C34" s="15"/>
      <c r="D34" s="5"/>
      <c r="E34" s="5"/>
      <c r="F34" s="5"/>
      <c r="G34" s="5"/>
      <c r="H34" s="5"/>
      <c r="I34" s="5"/>
      <c r="J34" s="5"/>
      <c r="K34" s="5"/>
      <c r="L34" s="5"/>
      <c r="M34" s="31"/>
      <c r="N34" s="4"/>
      <c r="O34" s="5"/>
    </row>
    <row r="35" spans="1:15" ht="21.75" customHeight="1" x14ac:dyDescent="0.15">
      <c r="A35" s="26"/>
      <c r="C35" s="15"/>
      <c r="D35" s="5"/>
      <c r="E35" s="5"/>
      <c r="F35" s="5"/>
      <c r="G35" s="5"/>
      <c r="H35" s="5"/>
      <c r="I35" s="5"/>
      <c r="J35" s="5"/>
      <c r="K35" s="5"/>
      <c r="L35" s="5"/>
      <c r="M35" s="31"/>
      <c r="N35" s="4"/>
      <c r="O35" s="5"/>
    </row>
    <row r="36" spans="1:15" ht="21.75" customHeight="1" x14ac:dyDescent="0.15">
      <c r="A36" s="26"/>
      <c r="C36" s="15"/>
      <c r="D36" s="5"/>
      <c r="E36" s="5"/>
      <c r="F36" s="5"/>
      <c r="G36" s="5"/>
      <c r="H36" s="5"/>
      <c r="I36" s="5"/>
      <c r="J36" s="5"/>
      <c r="K36" s="5"/>
      <c r="L36" s="5"/>
      <c r="M36" s="31"/>
      <c r="N36" s="4"/>
      <c r="O36" s="5"/>
    </row>
    <row r="37" spans="1:15" ht="21.75" customHeight="1" x14ac:dyDescent="0.15">
      <c r="A37" s="26"/>
      <c r="C37" s="15"/>
      <c r="D37" s="5"/>
      <c r="E37" s="5"/>
      <c r="F37" s="5"/>
      <c r="G37" s="25"/>
      <c r="H37" s="5"/>
      <c r="I37" s="5"/>
      <c r="J37" s="5"/>
      <c r="K37" s="5"/>
      <c r="L37" s="5"/>
      <c r="M37" s="31"/>
      <c r="N37" s="4"/>
      <c r="O37" s="5"/>
    </row>
    <row r="38" spans="1:15" ht="21.75" customHeight="1" x14ac:dyDescent="0.15">
      <c r="A38" s="26"/>
      <c r="C38" s="15"/>
      <c r="D38" s="5"/>
      <c r="E38" s="5"/>
      <c r="F38" s="5"/>
      <c r="G38" s="5"/>
      <c r="H38" s="5"/>
      <c r="I38" s="5"/>
      <c r="J38" s="5"/>
      <c r="K38" s="5"/>
      <c r="L38" s="5"/>
      <c r="M38" s="31"/>
      <c r="N38" s="4"/>
      <c r="O38" s="5"/>
    </row>
    <row r="39" spans="1:15" ht="21.75" customHeight="1" x14ac:dyDescent="0.15">
      <c r="A39" s="26"/>
      <c r="C39" s="15"/>
      <c r="D39" s="5"/>
      <c r="E39" s="5"/>
      <c r="F39" s="5"/>
      <c r="G39" s="5"/>
      <c r="H39" s="5"/>
      <c r="I39" s="5"/>
      <c r="J39" s="5"/>
      <c r="K39" s="5"/>
      <c r="L39" s="5"/>
      <c r="M39" s="31"/>
      <c r="N39" s="4"/>
      <c r="O39" s="5"/>
    </row>
    <row r="40" spans="1:15" ht="21.75" customHeight="1" x14ac:dyDescent="0.15">
      <c r="A40" s="26"/>
      <c r="C40" s="15"/>
      <c r="D40" s="5"/>
      <c r="E40" s="5"/>
      <c r="F40" s="5"/>
      <c r="G40" s="27"/>
      <c r="H40" s="5"/>
      <c r="I40" s="5"/>
      <c r="J40" s="5"/>
      <c r="K40" s="5"/>
      <c r="L40" s="5"/>
      <c r="M40" s="31"/>
      <c r="N40" s="4"/>
      <c r="O40" s="5"/>
    </row>
    <row r="41" spans="1:15" ht="21.75" customHeight="1" x14ac:dyDescent="0.15">
      <c r="A41" s="26"/>
      <c r="C41" s="15"/>
      <c r="D41" s="5"/>
      <c r="E41" s="5"/>
      <c r="F41" s="5"/>
      <c r="G41" s="27"/>
      <c r="H41" s="5"/>
      <c r="I41" s="5"/>
      <c r="J41" s="5"/>
      <c r="K41" s="5"/>
      <c r="L41" s="5"/>
      <c r="M41" s="31"/>
      <c r="N41" s="4"/>
      <c r="O41" s="5"/>
    </row>
    <row r="42" spans="1:15" ht="21.75" customHeight="1" x14ac:dyDescent="0.15">
      <c r="A42" s="26"/>
      <c r="C42" s="15"/>
      <c r="D42" s="5"/>
      <c r="E42" s="5"/>
      <c r="F42" s="5"/>
      <c r="G42" s="27"/>
      <c r="H42" s="5"/>
      <c r="I42" s="5"/>
      <c r="J42" s="5"/>
      <c r="K42" s="5"/>
      <c r="L42" s="5"/>
      <c r="M42" s="31"/>
      <c r="N42" s="4"/>
      <c r="O42" s="5"/>
    </row>
    <row r="43" spans="1:15" ht="21.75" customHeight="1" x14ac:dyDescent="0.15">
      <c r="A43" s="26"/>
      <c r="C43" s="15"/>
      <c r="D43" s="5"/>
      <c r="E43" s="5"/>
      <c r="F43" s="5"/>
      <c r="G43" s="28"/>
      <c r="H43" s="5"/>
      <c r="I43" s="5"/>
      <c r="J43" s="5"/>
      <c r="K43" s="5"/>
      <c r="L43" s="5"/>
      <c r="M43" s="31"/>
      <c r="N43" s="4"/>
      <c r="O43" s="5"/>
    </row>
    <row r="44" spans="1:15" ht="21.75" customHeight="1" x14ac:dyDescent="0.15">
      <c r="A44" s="26"/>
      <c r="C44" s="15"/>
      <c r="D44" s="5"/>
      <c r="E44" s="5"/>
      <c r="F44" s="5"/>
      <c r="G44" s="28"/>
      <c r="H44" s="5"/>
      <c r="I44" s="5"/>
      <c r="J44" s="5"/>
      <c r="K44" s="5"/>
      <c r="L44" s="5"/>
      <c r="M44" s="31"/>
      <c r="N44" s="4"/>
      <c r="O44" s="5"/>
    </row>
    <row r="45" spans="1:15" ht="21.75" customHeight="1" x14ac:dyDescent="0.15">
      <c r="A45" s="26"/>
      <c r="C45" s="15"/>
      <c r="D45" s="5"/>
      <c r="E45" s="5"/>
      <c r="F45" s="5"/>
      <c r="G45" s="28"/>
      <c r="H45" s="5"/>
      <c r="I45" s="5"/>
      <c r="J45" s="5"/>
      <c r="K45" s="5"/>
      <c r="L45" s="5"/>
      <c r="M45" s="31"/>
      <c r="N45" s="4"/>
      <c r="O45" s="5"/>
    </row>
    <row r="46" spans="1:15" ht="21.75" customHeight="1" x14ac:dyDescent="0.15">
      <c r="A46" s="26"/>
      <c r="C46" s="15"/>
      <c r="D46" s="5"/>
      <c r="E46" s="5"/>
      <c r="F46" s="5"/>
      <c r="G46" s="28"/>
      <c r="H46" s="5"/>
      <c r="I46" s="5"/>
      <c r="J46" s="5"/>
      <c r="K46" s="5"/>
      <c r="L46" s="5"/>
      <c r="M46" s="31"/>
      <c r="N46" s="4"/>
      <c r="O46" s="5"/>
    </row>
    <row r="47" spans="1:15" ht="21.75" customHeight="1" x14ac:dyDescent="0.15">
      <c r="A47" s="26"/>
      <c r="C47" s="15"/>
      <c r="D47" s="5"/>
      <c r="E47" s="5"/>
      <c r="F47" s="5"/>
      <c r="G47" s="27"/>
      <c r="H47" s="5"/>
      <c r="I47" s="5"/>
      <c r="J47" s="5"/>
      <c r="K47" s="5"/>
      <c r="L47" s="5"/>
      <c r="M47" s="31"/>
      <c r="N47" s="4"/>
      <c r="O47" s="5"/>
    </row>
    <row r="48" spans="1:15" ht="21.75" customHeight="1" x14ac:dyDescent="0.15">
      <c r="A48" s="26"/>
      <c r="C48" s="15"/>
      <c r="D48" s="5"/>
      <c r="E48" s="5"/>
      <c r="F48" s="5"/>
      <c r="G48" s="5"/>
      <c r="H48" s="5"/>
      <c r="I48" s="5"/>
      <c r="J48" s="5"/>
      <c r="K48" s="5"/>
      <c r="L48" s="5"/>
      <c r="M48" s="31"/>
      <c r="N48" s="4"/>
      <c r="O48" s="5"/>
    </row>
    <row r="49" spans="1:15" ht="21.75" customHeight="1" x14ac:dyDescent="0.15">
      <c r="A49" s="26"/>
      <c r="C49" s="15"/>
      <c r="D49" s="5"/>
      <c r="E49" s="5"/>
      <c r="F49" s="5"/>
      <c r="G49" s="5"/>
      <c r="H49" s="5"/>
      <c r="I49" s="5"/>
      <c r="J49" s="5"/>
      <c r="K49" s="5"/>
      <c r="L49" s="5"/>
      <c r="M49" s="31"/>
      <c r="N49" s="4"/>
      <c r="O49" s="5"/>
    </row>
    <row r="50" spans="1:15" ht="21.75" customHeight="1" x14ac:dyDescent="0.15">
      <c r="A50" s="26"/>
      <c r="C50" s="15"/>
      <c r="D50" s="5"/>
      <c r="E50" s="5"/>
      <c r="F50" s="5"/>
      <c r="G50" s="5"/>
      <c r="H50" s="5"/>
      <c r="I50" s="5"/>
      <c r="J50" s="5"/>
      <c r="K50" s="5"/>
      <c r="L50" s="5"/>
      <c r="M50" s="31"/>
      <c r="N50" s="4"/>
      <c r="O50" s="5"/>
    </row>
    <row r="51" spans="1:15" ht="21.75" customHeight="1" x14ac:dyDescent="0.15">
      <c r="A51" s="26"/>
      <c r="C51" s="15"/>
      <c r="D51" s="5"/>
      <c r="E51" s="5"/>
      <c r="F51" s="5"/>
      <c r="G51" s="5"/>
      <c r="H51" s="5"/>
      <c r="I51" s="5"/>
      <c r="J51" s="5"/>
      <c r="K51" s="5"/>
      <c r="L51" s="5"/>
      <c r="M51" s="31"/>
      <c r="N51" s="4"/>
      <c r="O51" s="5"/>
    </row>
    <row r="52" spans="1:15" ht="21.75" customHeight="1" x14ac:dyDescent="0.15">
      <c r="A52" s="26"/>
      <c r="C52" s="15"/>
      <c r="D52" s="5"/>
      <c r="E52" s="5"/>
      <c r="F52" s="5"/>
      <c r="G52" s="27"/>
      <c r="H52" s="5"/>
      <c r="I52" s="5"/>
      <c r="J52" s="5"/>
      <c r="K52" s="5"/>
      <c r="L52" s="5"/>
      <c r="M52" s="31"/>
      <c r="N52" s="4"/>
      <c r="O52" s="5"/>
    </row>
    <row r="53" spans="1:15" ht="21.75" customHeight="1" x14ac:dyDescent="0.15">
      <c r="A53" s="26"/>
      <c r="C53" s="15"/>
      <c r="D53" s="5"/>
      <c r="E53" s="5"/>
      <c r="F53" s="5"/>
      <c r="G53" s="5"/>
      <c r="H53" s="5"/>
      <c r="I53" s="5"/>
      <c r="J53" s="5"/>
      <c r="K53" s="5"/>
      <c r="L53" s="5"/>
      <c r="M53" s="31"/>
      <c r="N53" s="4"/>
      <c r="O53" s="5"/>
    </row>
    <row r="54" spans="1:15" ht="21.75" customHeight="1" x14ac:dyDescent="0.15">
      <c r="A54" s="26"/>
      <c r="C54" s="15"/>
      <c r="D54" s="5"/>
      <c r="E54" s="5"/>
      <c r="F54" s="5"/>
      <c r="G54" s="5"/>
      <c r="H54" s="5"/>
      <c r="I54" s="5"/>
      <c r="J54" s="5"/>
      <c r="K54" s="5"/>
      <c r="L54" s="5"/>
      <c r="M54" s="31"/>
      <c r="N54" s="4"/>
      <c r="O54" s="5"/>
    </row>
    <row r="55" spans="1:15" ht="21.75" customHeight="1" x14ac:dyDescent="0.15">
      <c r="A55" s="26"/>
      <c r="C55" s="15"/>
      <c r="D55" s="5"/>
      <c r="E55" s="5"/>
      <c r="F55" s="5"/>
      <c r="G55" s="5"/>
      <c r="H55" s="5"/>
      <c r="I55" s="5"/>
      <c r="J55" s="5"/>
      <c r="K55" s="5"/>
      <c r="L55" s="5"/>
      <c r="M55" s="31"/>
      <c r="N55" s="4"/>
      <c r="O55" s="5"/>
    </row>
    <row r="56" spans="1:15" ht="21.75" customHeight="1" x14ac:dyDescent="0.15">
      <c r="A56" s="26"/>
      <c r="C56" s="15"/>
      <c r="D56" s="5"/>
      <c r="E56" s="5"/>
      <c r="F56" s="5"/>
      <c r="G56" s="5"/>
      <c r="H56" s="5"/>
      <c r="I56" s="5"/>
      <c r="J56" s="5"/>
      <c r="K56" s="5"/>
      <c r="L56" s="5"/>
      <c r="M56" s="31"/>
      <c r="N56" s="4"/>
      <c r="O56" s="5"/>
    </row>
    <row r="57" spans="1:15" ht="21.75" customHeight="1" x14ac:dyDescent="0.15">
      <c r="A57" s="26"/>
      <c r="C57" s="15"/>
      <c r="D57" s="5"/>
      <c r="E57" s="5"/>
      <c r="F57" s="5"/>
      <c r="G57" s="5"/>
      <c r="H57" s="5"/>
      <c r="I57" s="5"/>
      <c r="J57" s="5"/>
      <c r="K57" s="5"/>
      <c r="L57" s="5"/>
      <c r="M57" s="31"/>
      <c r="N57" s="4"/>
      <c r="O57" s="5"/>
    </row>
    <row r="58" spans="1:15" ht="21.75" customHeight="1" x14ac:dyDescent="0.15">
      <c r="A58" s="26"/>
      <c r="C58" s="15"/>
      <c r="D58" s="5"/>
      <c r="E58" s="5"/>
      <c r="F58" s="5"/>
      <c r="G58" s="5"/>
      <c r="H58" s="5"/>
      <c r="I58" s="5"/>
      <c r="J58" s="5"/>
      <c r="K58" s="5"/>
      <c r="L58" s="5"/>
      <c r="M58" s="31"/>
      <c r="N58" s="4"/>
      <c r="O58" s="5"/>
    </row>
    <row r="59" spans="1:15" ht="21.75" customHeight="1" x14ac:dyDescent="0.15">
      <c r="A59" s="26"/>
      <c r="C59" s="15"/>
      <c r="D59" s="5"/>
      <c r="E59" s="5"/>
      <c r="F59" s="5"/>
      <c r="G59" s="5"/>
      <c r="H59" s="5"/>
      <c r="I59" s="5"/>
      <c r="J59" s="5"/>
      <c r="K59" s="5"/>
      <c r="L59" s="5"/>
      <c r="M59" s="31"/>
      <c r="N59" s="4"/>
      <c r="O59" s="5"/>
    </row>
    <row r="60" spans="1:15" ht="21.75" customHeight="1" x14ac:dyDescent="0.15">
      <c r="A60" s="26"/>
      <c r="C60" s="15"/>
      <c r="D60" s="5"/>
      <c r="E60" s="5"/>
      <c r="F60" s="5"/>
      <c r="G60" s="5"/>
      <c r="H60" s="5"/>
      <c r="I60" s="5"/>
      <c r="J60" s="5"/>
      <c r="K60" s="5"/>
      <c r="L60" s="5"/>
      <c r="M60" s="31"/>
      <c r="N60" s="4"/>
      <c r="O60" s="5"/>
    </row>
    <row r="61" spans="1:15" ht="21.75" customHeight="1" x14ac:dyDescent="0.15">
      <c r="A61" s="26"/>
      <c r="C61" s="15"/>
      <c r="D61" s="5"/>
      <c r="E61" s="5"/>
      <c r="F61" s="5"/>
      <c r="G61" s="5"/>
      <c r="H61" s="5"/>
      <c r="I61" s="5"/>
      <c r="J61" s="5"/>
      <c r="K61" s="29"/>
      <c r="L61" s="5"/>
      <c r="M61" s="31"/>
      <c r="N61" s="4"/>
      <c r="O61" s="5"/>
    </row>
    <row r="62" spans="1:15" ht="21.75" customHeight="1" x14ac:dyDescent="0.15">
      <c r="A62" s="26"/>
      <c r="C62" s="15"/>
      <c r="D62" s="5"/>
      <c r="E62" s="5"/>
      <c r="F62" s="5"/>
      <c r="G62" s="5"/>
      <c r="H62" s="5"/>
      <c r="I62" s="5"/>
      <c r="J62" s="5"/>
      <c r="K62" s="5"/>
      <c r="L62" s="5"/>
      <c r="M62" s="31"/>
      <c r="N62" s="4"/>
      <c r="O62" s="5"/>
    </row>
    <row r="63" spans="1:15" ht="21.75" customHeight="1" x14ac:dyDescent="0.15">
      <c r="A63" s="26"/>
      <c r="C63" s="15"/>
      <c r="D63" s="5"/>
      <c r="E63" s="5"/>
      <c r="F63" s="5"/>
      <c r="G63" s="5"/>
      <c r="H63" s="5"/>
      <c r="I63" s="5"/>
      <c r="J63" s="5"/>
      <c r="K63" s="5"/>
      <c r="L63" s="5"/>
      <c r="M63" s="31"/>
      <c r="N63" s="4"/>
      <c r="O63" s="5"/>
    </row>
    <row r="64" spans="1:15" ht="21.75" customHeight="1" x14ac:dyDescent="0.15">
      <c r="A64" s="26"/>
      <c r="C64" s="15"/>
      <c r="D64" s="5"/>
      <c r="E64" s="5"/>
      <c r="F64" s="5"/>
      <c r="G64" s="5"/>
      <c r="H64" s="5"/>
      <c r="I64" s="5"/>
      <c r="J64" s="5"/>
      <c r="K64" s="5"/>
      <c r="L64" s="5"/>
      <c r="M64" s="31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1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1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1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1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1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1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1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1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1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1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1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1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1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1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1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1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1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1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1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1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1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1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1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1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1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1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1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1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1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1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1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1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1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1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1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1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A20:A21 B14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215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5" style="1" customWidth="1"/>
    <col min="17" max="16384" width="9" style="1"/>
  </cols>
  <sheetData>
    <row r="1" spans="1:15" s="42" customFormat="1" ht="31.5" x14ac:dyDescent="0.15">
      <c r="A1" s="41" t="s">
        <v>128</v>
      </c>
      <c r="N1" s="43"/>
    </row>
    <row r="2" spans="1:15" s="42" customFormat="1" x14ac:dyDescent="0.15">
      <c r="A2" s="44" t="s">
        <v>67</v>
      </c>
      <c r="N2" s="45"/>
    </row>
    <row r="3" spans="1:15" s="42" customFormat="1" x14ac:dyDescent="0.15">
      <c r="A3" s="44" t="s">
        <v>67</v>
      </c>
      <c r="N3" s="45"/>
    </row>
    <row r="4" spans="1:15" s="42" customFormat="1" x14ac:dyDescent="0.15">
      <c r="A4" s="44" t="s">
        <v>110</v>
      </c>
      <c r="N4" s="45"/>
    </row>
    <row r="7" spans="1:15" ht="21" x14ac:dyDescent="0.15">
      <c r="A7" s="12" t="s">
        <v>63</v>
      </c>
      <c r="D7" s="12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8" t="s">
        <v>58</v>
      </c>
      <c r="M8" s="2"/>
      <c r="N8" s="1"/>
    </row>
    <row r="9" spans="1:15" x14ac:dyDescent="0.15">
      <c r="A9" s="6" t="s">
        <v>0</v>
      </c>
      <c r="B9" s="1" t="s">
        <v>264</v>
      </c>
      <c r="D9" s="6" t="s">
        <v>73</v>
      </c>
      <c r="E9" s="22">
        <f>E13-SUM(E10:E12)</f>
        <v>16</v>
      </c>
      <c r="M9" s="2"/>
      <c r="N9" s="1"/>
    </row>
    <row r="10" spans="1:15" x14ac:dyDescent="0.15">
      <c r="A10" s="6" t="s">
        <v>11</v>
      </c>
      <c r="B10" s="56" t="s">
        <v>247</v>
      </c>
      <c r="D10" s="6" t="s">
        <v>4</v>
      </c>
      <c r="E10" s="24">
        <f>COUNTIF(TestScriptTable3[Result],"Passed")</f>
        <v>0</v>
      </c>
      <c r="M10" s="2"/>
      <c r="N10" s="56"/>
    </row>
    <row r="11" spans="1:15" x14ac:dyDescent="0.15">
      <c r="A11" s="6" t="s">
        <v>80</v>
      </c>
      <c r="B11" s="1">
        <v>1366</v>
      </c>
      <c r="D11" s="6" t="s">
        <v>5</v>
      </c>
      <c r="E11" s="23">
        <f>COUNTIF(TestScriptTable3[Result],"Failed")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1">
        <f>COUNTIF(TestScriptTable3[Result],"Skipped*")</f>
        <v>0</v>
      </c>
      <c r="M12" s="2"/>
      <c r="N12" s="1"/>
    </row>
    <row r="13" spans="1:15" x14ac:dyDescent="0.15">
      <c r="A13" s="6" t="s">
        <v>29</v>
      </c>
      <c r="D13" s="6" t="s">
        <v>6</v>
      </c>
      <c r="E13" s="8">
        <f>COUNTA(TestScriptTable3[runTarget])+COUNTBLANK(TestScriptTable3[runTarget])</f>
        <v>16</v>
      </c>
      <c r="M13" s="2"/>
      <c r="N13" s="1"/>
    </row>
    <row r="14" spans="1:15" x14ac:dyDescent="0.15">
      <c r="A14" s="6" t="s">
        <v>75</v>
      </c>
      <c r="B14" s="1" t="s">
        <v>79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53" t="s">
        <v>124</v>
      </c>
      <c r="B18" s="55"/>
      <c r="C18" s="54"/>
      <c r="D18" s="38" t="s">
        <v>21</v>
      </c>
      <c r="E18" s="38"/>
      <c r="F18" s="38"/>
      <c r="G18" s="38"/>
      <c r="H18" s="30" t="s">
        <v>74</v>
      </c>
      <c r="I18" s="39"/>
      <c r="J18" s="39"/>
      <c r="K18" s="39"/>
      <c r="L18" s="40" t="s">
        <v>32</v>
      </c>
      <c r="M18" s="40"/>
      <c r="N18" s="40"/>
      <c r="O18" s="40"/>
      <c r="P18" s="40"/>
    </row>
    <row r="19" spans="1:16" s="17" customFormat="1" ht="15.75" x14ac:dyDescent="0.15">
      <c r="A19" s="16" t="s">
        <v>64</v>
      </c>
      <c r="B19" s="16" t="s">
        <v>10</v>
      </c>
      <c r="C19" s="16" t="s">
        <v>65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60</v>
      </c>
      <c r="I19" s="16" t="s">
        <v>61</v>
      </c>
      <c r="J19" s="16" t="s">
        <v>62</v>
      </c>
      <c r="K19" s="16" t="s">
        <v>2</v>
      </c>
      <c r="L19" s="16" t="s">
        <v>3</v>
      </c>
      <c r="M19" s="16" t="s">
        <v>33</v>
      </c>
      <c r="N19" s="18" t="s">
        <v>66</v>
      </c>
      <c r="O19" s="16" t="s">
        <v>68</v>
      </c>
      <c r="P19" s="16" t="s">
        <v>34</v>
      </c>
    </row>
    <row r="20" spans="1:16" ht="21.75" customHeight="1" x14ac:dyDescent="0.15">
      <c r="A20" s="26"/>
      <c r="B20" s="5" t="s">
        <v>266</v>
      </c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6" t="s">
        <v>79</v>
      </c>
      <c r="B21" s="1" t="s">
        <v>252</v>
      </c>
      <c r="C21" s="15"/>
      <c r="D21" s="5" t="s">
        <v>37</v>
      </c>
      <c r="E21" s="5"/>
      <c r="F21" s="5" t="s">
        <v>129</v>
      </c>
      <c r="G21" s="5"/>
      <c r="H21" s="5" t="s">
        <v>42</v>
      </c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6" t="s">
        <v>79</v>
      </c>
      <c r="B22" s="1" t="s">
        <v>252</v>
      </c>
      <c r="C22" s="15"/>
      <c r="D22" s="5" t="s">
        <v>70</v>
      </c>
      <c r="E22" s="5" t="s">
        <v>49</v>
      </c>
      <c r="F22" s="5" t="s">
        <v>248</v>
      </c>
      <c r="G22" s="36" t="s">
        <v>253</v>
      </c>
      <c r="H22" s="5" t="s">
        <v>42</v>
      </c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6" t="s">
        <v>79</v>
      </c>
      <c r="B23" s="1" t="s">
        <v>252</v>
      </c>
      <c r="C23" s="15"/>
      <c r="D23" s="5" t="s">
        <v>70</v>
      </c>
      <c r="E23" s="5" t="s">
        <v>49</v>
      </c>
      <c r="F23" s="5" t="s">
        <v>249</v>
      </c>
      <c r="G23" s="5" t="s">
        <v>254</v>
      </c>
      <c r="H23" s="5" t="s">
        <v>42</v>
      </c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6" t="s">
        <v>79</v>
      </c>
      <c r="B24" s="1" t="s">
        <v>252</v>
      </c>
      <c r="C24" s="15"/>
      <c r="D24" s="5" t="s">
        <v>39</v>
      </c>
      <c r="E24" s="5" t="s">
        <v>49</v>
      </c>
      <c r="F24" s="5" t="s">
        <v>250</v>
      </c>
      <c r="G24" s="5"/>
      <c r="H24" s="5" t="s">
        <v>42</v>
      </c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6" t="s">
        <v>79</v>
      </c>
      <c r="B25" s="1" t="s">
        <v>252</v>
      </c>
      <c r="C25" s="15"/>
      <c r="D25" s="5" t="s">
        <v>70</v>
      </c>
      <c r="E25" s="5" t="s">
        <v>49</v>
      </c>
      <c r="F25" s="5" t="s">
        <v>251</v>
      </c>
      <c r="G25" s="5" t="str">
        <f>B20</f>
        <v xml:space="preserve">Test title : Spreadsheetnium command reference_x000D_
sheet name : sample_commandReference_x000D_
_x000D_
Not tested : 0_x000D_
Passed : 44_x000D_
Failed: 1_x000D_
Skipped : 0_x000D_
Total : 45_x000D_
Progress rate : 100%_x000D_
_x000D_
_x000D_
_x000D_
</v>
      </c>
      <c r="H25" s="5" t="s">
        <v>42</v>
      </c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6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6" t="s">
        <v>79</v>
      </c>
      <c r="B27" s="1" t="s">
        <v>255</v>
      </c>
      <c r="C27" s="15"/>
      <c r="D27" s="5" t="s">
        <v>37</v>
      </c>
      <c r="E27" s="5"/>
      <c r="F27" s="5" t="s">
        <v>256</v>
      </c>
      <c r="G27" s="5"/>
      <c r="H27" s="5" t="s">
        <v>42</v>
      </c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6" t="s">
        <v>79</v>
      </c>
      <c r="B28" s="1" t="s">
        <v>255</v>
      </c>
      <c r="C28" s="15"/>
      <c r="D28" s="5" t="s">
        <v>70</v>
      </c>
      <c r="E28" s="5" t="s">
        <v>49</v>
      </c>
      <c r="F28" s="5" t="s">
        <v>257</v>
      </c>
      <c r="G28" s="36" t="s">
        <v>253</v>
      </c>
      <c r="H28" s="5" t="s">
        <v>42</v>
      </c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6" t="s">
        <v>79</v>
      </c>
      <c r="B29" s="1" t="s">
        <v>255</v>
      </c>
      <c r="C29" s="15"/>
      <c r="D29" s="5" t="s">
        <v>70</v>
      </c>
      <c r="E29" s="5" t="s">
        <v>49</v>
      </c>
      <c r="F29" s="5" t="s">
        <v>249</v>
      </c>
      <c r="G29" s="5" t="s">
        <v>254</v>
      </c>
      <c r="H29" s="5" t="s">
        <v>42</v>
      </c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6" t="s">
        <v>79</v>
      </c>
      <c r="B30" s="1" t="s">
        <v>255</v>
      </c>
      <c r="C30" s="15"/>
      <c r="D30" s="5" t="s">
        <v>39</v>
      </c>
      <c r="E30" s="5" t="s">
        <v>49</v>
      </c>
      <c r="F30" s="5" t="s">
        <v>258</v>
      </c>
      <c r="G30" s="5"/>
      <c r="H30" s="5" t="s">
        <v>42</v>
      </c>
      <c r="I30" s="5"/>
      <c r="J30" s="5"/>
      <c r="K30" s="5"/>
      <c r="L30" s="5"/>
      <c r="M30"/>
      <c r="N30" s="4"/>
      <c r="O30" s="5"/>
    </row>
    <row r="31" spans="1:16" ht="21.75" customHeight="1" x14ac:dyDescent="0.15">
      <c r="A31" s="26" t="s">
        <v>79</v>
      </c>
      <c r="B31" s="1" t="s">
        <v>255</v>
      </c>
      <c r="C31" s="15"/>
      <c r="D31" s="5" t="s">
        <v>20</v>
      </c>
      <c r="E31" s="5"/>
      <c r="F31" s="5" t="s">
        <v>259</v>
      </c>
      <c r="G31" s="5"/>
      <c r="H31" s="5" t="s">
        <v>42</v>
      </c>
      <c r="I31" s="5"/>
      <c r="J31" s="5"/>
      <c r="K31" s="5"/>
      <c r="L31" s="5"/>
      <c r="M31"/>
      <c r="N31" s="4"/>
      <c r="O31" s="5"/>
    </row>
    <row r="32" spans="1:16" ht="21.75" customHeight="1" x14ac:dyDescent="0.15">
      <c r="A32" s="26" t="s">
        <v>79</v>
      </c>
      <c r="B32" s="1" t="s">
        <v>255</v>
      </c>
      <c r="C32" s="15"/>
      <c r="D32" s="5" t="s">
        <v>70</v>
      </c>
      <c r="E32" s="5" t="s">
        <v>49</v>
      </c>
      <c r="F32" s="5" t="s">
        <v>260</v>
      </c>
      <c r="G32" s="5" t="s">
        <v>261</v>
      </c>
      <c r="H32" s="5" t="s">
        <v>42</v>
      </c>
      <c r="I32" s="5"/>
      <c r="J32" s="5"/>
      <c r="K32" s="5"/>
      <c r="L32" s="5"/>
      <c r="M32"/>
      <c r="N32" s="4"/>
      <c r="O32" s="5"/>
    </row>
    <row r="33" spans="1:15" ht="21.75" customHeight="1" x14ac:dyDescent="0.15">
      <c r="A33" s="26" t="s">
        <v>79</v>
      </c>
      <c r="B33" s="1" t="s">
        <v>255</v>
      </c>
      <c r="C33" s="15"/>
      <c r="D33" s="5" t="s">
        <v>70</v>
      </c>
      <c r="E33" s="5" t="s">
        <v>49</v>
      </c>
      <c r="F33" s="5" t="s">
        <v>262</v>
      </c>
      <c r="G33" s="5" t="str">
        <f>B20</f>
        <v xml:space="preserve">Test title : Spreadsheetnium command reference_x000D_
sheet name : sample_commandReference_x000D_
_x000D_
Not tested : 0_x000D_
Passed : 44_x000D_
Failed: 1_x000D_
Skipped : 0_x000D_
Total : 45_x000D_
Progress rate : 100%_x000D_
_x000D_
_x000D_
_x000D_
</v>
      </c>
      <c r="H33" s="5" t="s">
        <v>42</v>
      </c>
      <c r="I33" s="5"/>
      <c r="J33" s="5"/>
      <c r="K33" s="5"/>
      <c r="L33" s="5"/>
      <c r="M33"/>
      <c r="N33" s="4"/>
      <c r="O33" s="5"/>
    </row>
    <row r="34" spans="1:15" ht="21.75" customHeight="1" x14ac:dyDescent="0.15">
      <c r="A34" s="26" t="s">
        <v>79</v>
      </c>
      <c r="B34" s="1" t="s">
        <v>255</v>
      </c>
      <c r="C34" s="15"/>
      <c r="D34" s="5" t="s">
        <v>39</v>
      </c>
      <c r="E34" s="5" t="s">
        <v>49</v>
      </c>
      <c r="F34" s="5" t="s">
        <v>263</v>
      </c>
      <c r="G34" s="5"/>
      <c r="H34" s="5" t="s">
        <v>42</v>
      </c>
      <c r="I34" s="5"/>
      <c r="J34" s="5"/>
      <c r="K34" s="5"/>
      <c r="L34" s="5"/>
      <c r="M34"/>
      <c r="N34" s="4"/>
      <c r="O34" s="5"/>
    </row>
    <row r="35" spans="1:15" ht="21.75" customHeight="1" x14ac:dyDescent="0.15">
      <c r="A35" s="26"/>
      <c r="C35" s="15"/>
      <c r="D35" s="5"/>
      <c r="E35" s="5"/>
      <c r="F35" s="5"/>
      <c r="G35" s="5"/>
      <c r="H35" s="5"/>
      <c r="I35" s="5"/>
      <c r="J35" s="5"/>
      <c r="K35" s="5"/>
      <c r="L35" s="5"/>
      <c r="M35"/>
      <c r="N35" s="4"/>
      <c r="O35" s="5"/>
    </row>
    <row r="36" spans="1:15" ht="21.75" customHeight="1" x14ac:dyDescent="0.15">
      <c r="A36" s="26"/>
      <c r="C36" s="15"/>
      <c r="D36" s="5"/>
      <c r="E36" s="5"/>
      <c r="F36" s="5"/>
      <c r="G36" s="5"/>
      <c r="H36" s="5"/>
      <c r="I36" s="5"/>
      <c r="J36" s="5"/>
      <c r="K36" s="5"/>
      <c r="L36" s="5"/>
      <c r="M36" s="31"/>
      <c r="N36" s="4"/>
      <c r="O36" s="5"/>
    </row>
    <row r="37" spans="1:15" ht="21.75" customHeight="1" x14ac:dyDescent="0.15">
      <c r="A37" s="26"/>
      <c r="C37" s="15"/>
      <c r="D37" s="5"/>
      <c r="E37" s="5"/>
      <c r="F37" s="5"/>
      <c r="G37" s="5"/>
      <c r="H37" s="5"/>
      <c r="I37" s="5"/>
      <c r="J37" s="5"/>
      <c r="K37" s="5"/>
      <c r="L37" s="5"/>
      <c r="M37" s="31"/>
      <c r="N37" s="4"/>
      <c r="O37" s="5"/>
    </row>
    <row r="38" spans="1:15" ht="21.75" customHeight="1" x14ac:dyDescent="0.15">
      <c r="A38" s="26"/>
      <c r="C38" s="15"/>
      <c r="D38" s="5"/>
      <c r="E38" s="5"/>
      <c r="F38" s="5"/>
      <c r="G38" s="5"/>
      <c r="H38" s="5"/>
      <c r="I38" s="5"/>
      <c r="J38" s="5"/>
      <c r="K38" s="5"/>
      <c r="L38" s="5"/>
      <c r="M38" s="31"/>
      <c r="N38" s="4"/>
      <c r="O38" s="5"/>
    </row>
    <row r="39" spans="1:15" ht="21.75" customHeight="1" x14ac:dyDescent="0.15">
      <c r="A39" s="26"/>
      <c r="C39" s="15"/>
      <c r="D39" s="5"/>
      <c r="E39" s="5"/>
      <c r="F39" s="5"/>
      <c r="G39" s="5"/>
      <c r="H39" s="5"/>
      <c r="I39" s="5"/>
      <c r="J39" s="5"/>
      <c r="K39" s="5"/>
      <c r="L39" s="5"/>
      <c r="M39" s="31"/>
      <c r="N39" s="4"/>
      <c r="O39" s="5"/>
    </row>
    <row r="40" spans="1:15" ht="21.75" customHeight="1" x14ac:dyDescent="0.15">
      <c r="A40" s="26"/>
      <c r="C40" s="15"/>
      <c r="D40" s="5"/>
      <c r="E40" s="5"/>
      <c r="F40" s="5"/>
      <c r="G40" s="5"/>
      <c r="H40" s="5"/>
      <c r="I40" s="5"/>
      <c r="J40" s="5"/>
      <c r="K40" s="5"/>
      <c r="L40" s="5"/>
      <c r="M40" s="31"/>
      <c r="N40" s="4"/>
      <c r="O40" s="5"/>
    </row>
    <row r="41" spans="1:15" ht="21.75" customHeight="1" x14ac:dyDescent="0.15">
      <c r="A41" s="26"/>
      <c r="C41" s="15"/>
      <c r="D41" s="5"/>
      <c r="E41" s="5"/>
      <c r="F41" s="5"/>
      <c r="G41" s="5"/>
      <c r="H41" s="5"/>
      <c r="I41" s="5"/>
      <c r="J41" s="5"/>
      <c r="K41" s="5"/>
      <c r="L41" s="5"/>
      <c r="M41" s="31"/>
      <c r="N41" s="4"/>
      <c r="O41" s="5"/>
    </row>
    <row r="42" spans="1:15" ht="21.75" customHeight="1" x14ac:dyDescent="0.15">
      <c r="A42" s="26"/>
      <c r="C42" s="15"/>
      <c r="D42" s="5"/>
      <c r="E42" s="5"/>
      <c r="F42" s="5"/>
      <c r="G42" s="5"/>
      <c r="H42" s="5"/>
      <c r="I42" s="5"/>
      <c r="J42" s="5"/>
      <c r="K42" s="5"/>
      <c r="L42" s="5"/>
      <c r="M42" s="31"/>
      <c r="N42" s="4"/>
      <c r="O42" s="5"/>
    </row>
    <row r="43" spans="1:15" ht="21.75" customHeight="1" x14ac:dyDescent="0.15">
      <c r="A43" s="26"/>
      <c r="C43" s="15"/>
      <c r="D43" s="5"/>
      <c r="E43" s="5"/>
      <c r="F43" s="5"/>
      <c r="G43" s="25"/>
      <c r="H43" s="5"/>
      <c r="I43" s="5"/>
      <c r="J43" s="5"/>
      <c r="K43" s="5"/>
      <c r="L43" s="5"/>
      <c r="M43" s="31"/>
      <c r="N43" s="4"/>
      <c r="O43" s="5"/>
    </row>
    <row r="44" spans="1:15" ht="21.75" customHeight="1" x14ac:dyDescent="0.15">
      <c r="A44" s="26"/>
      <c r="C44" s="15"/>
      <c r="D44" s="5"/>
      <c r="E44" s="5"/>
      <c r="F44" s="5"/>
      <c r="G44" s="5"/>
      <c r="H44" s="5"/>
      <c r="I44" s="5"/>
      <c r="J44" s="5"/>
      <c r="K44" s="5"/>
      <c r="L44" s="5"/>
      <c r="M44" s="31"/>
      <c r="N44" s="4"/>
      <c r="O44" s="5"/>
    </row>
    <row r="45" spans="1:15" ht="21.75" customHeight="1" x14ac:dyDescent="0.15">
      <c r="A45" s="26"/>
      <c r="C45" s="15"/>
      <c r="D45" s="5"/>
      <c r="E45" s="5"/>
      <c r="F45" s="5"/>
      <c r="G45" s="5"/>
      <c r="H45" s="5"/>
      <c r="I45" s="5"/>
      <c r="J45" s="5"/>
      <c r="K45" s="5"/>
      <c r="L45" s="5"/>
      <c r="M45" s="31"/>
      <c r="N45" s="4"/>
      <c r="O45" s="5"/>
    </row>
    <row r="46" spans="1:15" ht="21.75" customHeight="1" x14ac:dyDescent="0.15">
      <c r="A46" s="26"/>
      <c r="C46" s="15"/>
      <c r="D46" s="5"/>
      <c r="E46" s="5"/>
      <c r="F46" s="5"/>
      <c r="G46" s="27"/>
      <c r="H46" s="5"/>
      <c r="I46" s="5"/>
      <c r="J46" s="5"/>
      <c r="K46" s="5"/>
      <c r="L46" s="5"/>
      <c r="M46" s="31"/>
      <c r="N46" s="4"/>
      <c r="O46" s="5"/>
    </row>
    <row r="47" spans="1:15" ht="21.75" customHeight="1" x14ac:dyDescent="0.15">
      <c r="A47" s="26"/>
      <c r="C47" s="15"/>
      <c r="D47" s="5"/>
      <c r="E47" s="5"/>
      <c r="F47" s="5"/>
      <c r="G47" s="27"/>
      <c r="H47" s="5"/>
      <c r="I47" s="5"/>
      <c r="J47" s="5"/>
      <c r="K47" s="5"/>
      <c r="L47" s="5"/>
      <c r="M47" s="31"/>
      <c r="N47" s="4"/>
      <c r="O47" s="5"/>
    </row>
    <row r="48" spans="1:15" ht="21.75" customHeight="1" x14ac:dyDescent="0.15">
      <c r="A48" s="26"/>
      <c r="C48" s="15"/>
      <c r="D48" s="5"/>
      <c r="E48" s="5"/>
      <c r="F48" s="5"/>
      <c r="G48" s="27"/>
      <c r="H48" s="5"/>
      <c r="I48" s="5"/>
      <c r="J48" s="5"/>
      <c r="K48" s="5"/>
      <c r="L48" s="5"/>
      <c r="M48" s="31"/>
      <c r="N48" s="4"/>
      <c r="O48" s="5"/>
    </row>
    <row r="49" spans="1:15" ht="21.75" customHeight="1" x14ac:dyDescent="0.15">
      <c r="A49" s="26"/>
      <c r="C49" s="15"/>
      <c r="D49" s="5"/>
      <c r="E49" s="5"/>
      <c r="F49" s="5"/>
      <c r="G49" s="28"/>
      <c r="H49" s="5"/>
      <c r="I49" s="5"/>
      <c r="J49" s="5"/>
      <c r="K49" s="5"/>
      <c r="L49" s="5"/>
      <c r="M49" s="31"/>
      <c r="N49" s="4"/>
      <c r="O49" s="5"/>
    </row>
    <row r="50" spans="1:15" ht="21.75" customHeight="1" x14ac:dyDescent="0.15">
      <c r="A50" s="26"/>
      <c r="C50" s="15"/>
      <c r="D50" s="5"/>
      <c r="E50" s="5"/>
      <c r="F50" s="5"/>
      <c r="G50" s="28"/>
      <c r="H50" s="5"/>
      <c r="I50" s="5"/>
      <c r="J50" s="5"/>
      <c r="K50" s="5"/>
      <c r="L50" s="5"/>
      <c r="M50" s="31"/>
      <c r="N50" s="4"/>
      <c r="O50" s="5"/>
    </row>
    <row r="51" spans="1:15" ht="21.75" customHeight="1" x14ac:dyDescent="0.15">
      <c r="A51" s="26"/>
      <c r="C51" s="15"/>
      <c r="D51" s="5"/>
      <c r="E51" s="5"/>
      <c r="F51" s="5"/>
      <c r="G51" s="28"/>
      <c r="H51" s="5"/>
      <c r="I51" s="5"/>
      <c r="J51" s="5"/>
      <c r="K51" s="5"/>
      <c r="L51" s="5"/>
      <c r="M51" s="31"/>
      <c r="N51" s="4"/>
      <c r="O51" s="5"/>
    </row>
    <row r="52" spans="1:15" ht="21.75" customHeight="1" x14ac:dyDescent="0.15">
      <c r="A52" s="26"/>
      <c r="C52" s="15"/>
      <c r="D52" s="5"/>
      <c r="E52" s="5"/>
      <c r="F52" s="5"/>
      <c r="G52" s="28"/>
      <c r="H52" s="5"/>
      <c r="I52" s="5"/>
      <c r="J52" s="5"/>
      <c r="K52" s="5"/>
      <c r="L52" s="5"/>
      <c r="M52" s="31"/>
      <c r="N52" s="4"/>
      <c r="O52" s="5"/>
    </row>
    <row r="53" spans="1:15" ht="21.75" customHeight="1" x14ac:dyDescent="0.15">
      <c r="A53" s="26"/>
      <c r="C53" s="15"/>
      <c r="D53" s="5"/>
      <c r="E53" s="5"/>
      <c r="F53" s="5"/>
      <c r="G53" s="27"/>
      <c r="H53" s="5"/>
      <c r="I53" s="5"/>
      <c r="J53" s="5"/>
      <c r="K53" s="5"/>
      <c r="L53" s="5"/>
      <c r="M53" s="31"/>
      <c r="N53" s="4"/>
      <c r="O53" s="5"/>
    </row>
    <row r="54" spans="1:15" ht="21.75" customHeight="1" x14ac:dyDescent="0.15">
      <c r="A54" s="26"/>
      <c r="C54" s="15"/>
      <c r="D54" s="5"/>
      <c r="E54" s="5"/>
      <c r="F54" s="5"/>
      <c r="G54" s="5"/>
      <c r="H54" s="5"/>
      <c r="I54" s="5"/>
      <c r="J54" s="5"/>
      <c r="K54" s="5"/>
      <c r="L54" s="5"/>
      <c r="M54" s="31"/>
      <c r="N54" s="4"/>
      <c r="O54" s="5"/>
    </row>
    <row r="55" spans="1:15" ht="21.75" customHeight="1" x14ac:dyDescent="0.15">
      <c r="A55" s="26"/>
      <c r="C55" s="15"/>
      <c r="D55" s="5"/>
      <c r="E55" s="5"/>
      <c r="F55" s="5"/>
      <c r="G55" s="5"/>
      <c r="H55" s="5"/>
      <c r="I55" s="5"/>
      <c r="J55" s="5"/>
      <c r="K55" s="5"/>
      <c r="L55" s="5"/>
      <c r="M55" s="31"/>
      <c r="N55" s="4"/>
      <c r="O55" s="5"/>
    </row>
    <row r="56" spans="1:15" ht="21.75" customHeight="1" x14ac:dyDescent="0.15">
      <c r="A56" s="26"/>
      <c r="C56" s="15"/>
      <c r="D56" s="5"/>
      <c r="E56" s="5"/>
      <c r="F56" s="5"/>
      <c r="G56" s="5"/>
      <c r="H56" s="5"/>
      <c r="I56" s="5"/>
      <c r="J56" s="5"/>
      <c r="K56" s="5"/>
      <c r="L56" s="5"/>
      <c r="M56" s="31"/>
      <c r="N56" s="4"/>
      <c r="O56" s="5"/>
    </row>
    <row r="57" spans="1:15" ht="21.75" customHeight="1" x14ac:dyDescent="0.15">
      <c r="A57" s="26"/>
      <c r="C57" s="15"/>
      <c r="D57" s="5"/>
      <c r="E57" s="5"/>
      <c r="F57" s="5"/>
      <c r="G57" s="5"/>
      <c r="H57" s="5"/>
      <c r="I57" s="5"/>
      <c r="J57" s="5"/>
      <c r="K57" s="5"/>
      <c r="L57" s="5"/>
      <c r="M57" s="31"/>
      <c r="N57" s="4"/>
      <c r="O57" s="5"/>
    </row>
    <row r="58" spans="1:15" ht="21.75" customHeight="1" x14ac:dyDescent="0.15">
      <c r="A58" s="26"/>
      <c r="C58" s="15"/>
      <c r="D58" s="5"/>
      <c r="E58" s="5"/>
      <c r="F58" s="5"/>
      <c r="G58" s="27"/>
      <c r="H58" s="5"/>
      <c r="I58" s="5"/>
      <c r="J58" s="5"/>
      <c r="K58" s="5"/>
      <c r="L58" s="5"/>
      <c r="M58" s="31"/>
      <c r="N58" s="4"/>
      <c r="O58" s="5"/>
    </row>
    <row r="59" spans="1:15" ht="21.75" customHeight="1" x14ac:dyDescent="0.15">
      <c r="A59" s="26"/>
      <c r="C59" s="15"/>
      <c r="D59" s="5"/>
      <c r="E59" s="5"/>
      <c r="F59" s="5"/>
      <c r="G59" s="5"/>
      <c r="H59" s="5"/>
      <c r="I59" s="5"/>
      <c r="J59" s="5"/>
      <c r="K59" s="5"/>
      <c r="L59" s="5"/>
      <c r="M59" s="31"/>
      <c r="N59" s="4"/>
      <c r="O59" s="5"/>
    </row>
    <row r="60" spans="1:15" ht="21.75" customHeight="1" x14ac:dyDescent="0.15">
      <c r="A60" s="26"/>
      <c r="C60" s="15"/>
      <c r="D60" s="5"/>
      <c r="E60" s="5"/>
      <c r="F60" s="5"/>
      <c r="G60" s="5"/>
      <c r="H60" s="5"/>
      <c r="I60" s="5"/>
      <c r="J60" s="5"/>
      <c r="K60" s="5"/>
      <c r="L60" s="5"/>
      <c r="M60" s="31"/>
      <c r="N60" s="4"/>
      <c r="O60" s="5"/>
    </row>
    <row r="61" spans="1:15" ht="21.75" customHeight="1" x14ac:dyDescent="0.15">
      <c r="A61" s="26"/>
      <c r="C61" s="15"/>
      <c r="D61" s="5"/>
      <c r="E61" s="5"/>
      <c r="F61" s="5"/>
      <c r="G61" s="5"/>
      <c r="H61" s="5"/>
      <c r="I61" s="5"/>
      <c r="J61" s="5"/>
      <c r="K61" s="5"/>
      <c r="L61" s="5"/>
      <c r="M61" s="31"/>
      <c r="N61" s="4"/>
      <c r="O61" s="5"/>
    </row>
    <row r="62" spans="1:15" ht="21.75" customHeight="1" x14ac:dyDescent="0.15">
      <c r="A62" s="26"/>
      <c r="C62" s="15"/>
      <c r="D62" s="5"/>
      <c r="E62" s="5"/>
      <c r="F62" s="5"/>
      <c r="G62" s="5"/>
      <c r="H62" s="5"/>
      <c r="I62" s="5"/>
      <c r="J62" s="5"/>
      <c r="K62" s="5"/>
      <c r="L62" s="5"/>
      <c r="M62" s="31"/>
      <c r="N62" s="4"/>
      <c r="O62" s="5"/>
    </row>
    <row r="63" spans="1:15" ht="21.75" customHeight="1" x14ac:dyDescent="0.15">
      <c r="A63" s="26"/>
      <c r="C63" s="15"/>
      <c r="D63" s="5"/>
      <c r="E63" s="5"/>
      <c r="F63" s="5"/>
      <c r="G63" s="5"/>
      <c r="H63" s="5"/>
      <c r="I63" s="5"/>
      <c r="J63" s="5"/>
      <c r="K63" s="5"/>
      <c r="L63" s="5"/>
      <c r="M63" s="31"/>
      <c r="N63" s="4"/>
      <c r="O63" s="5"/>
    </row>
    <row r="64" spans="1:15" ht="21.75" customHeight="1" x14ac:dyDescent="0.15">
      <c r="A64" s="26"/>
      <c r="C64" s="15"/>
      <c r="D64" s="5"/>
      <c r="E64" s="5"/>
      <c r="F64" s="5"/>
      <c r="G64" s="5"/>
      <c r="H64" s="5"/>
      <c r="I64" s="5"/>
      <c r="J64" s="5"/>
      <c r="K64" s="5"/>
      <c r="L64" s="5"/>
      <c r="M64" s="31"/>
      <c r="N64" s="4"/>
      <c r="O64" s="5"/>
    </row>
    <row r="65" spans="1:15" ht="21.75" customHeight="1" x14ac:dyDescent="0.15">
      <c r="A65" s="26"/>
      <c r="C65" s="15"/>
      <c r="D65" s="5"/>
      <c r="E65" s="5"/>
      <c r="F65" s="5"/>
      <c r="G65" s="5"/>
      <c r="H65" s="5"/>
      <c r="I65" s="5"/>
      <c r="J65" s="5"/>
      <c r="K65" s="5"/>
      <c r="L65" s="5"/>
      <c r="M65" s="31"/>
      <c r="N65" s="4"/>
      <c r="O65" s="5"/>
    </row>
    <row r="66" spans="1:15" ht="21.75" customHeight="1" x14ac:dyDescent="0.15">
      <c r="A66" s="26"/>
      <c r="C66" s="15"/>
      <c r="D66" s="5"/>
      <c r="E66" s="5"/>
      <c r="F66" s="5"/>
      <c r="G66" s="5"/>
      <c r="H66" s="5"/>
      <c r="I66" s="5"/>
      <c r="J66" s="5"/>
      <c r="K66" s="5"/>
      <c r="L66" s="5"/>
      <c r="M66" s="31"/>
      <c r="N66" s="4"/>
      <c r="O66" s="5"/>
    </row>
    <row r="67" spans="1:15" ht="21.75" customHeight="1" x14ac:dyDescent="0.15">
      <c r="A67" s="26"/>
      <c r="C67" s="15"/>
      <c r="D67" s="5"/>
      <c r="E67" s="5"/>
      <c r="F67" s="5"/>
      <c r="G67" s="5"/>
      <c r="H67" s="5"/>
      <c r="I67" s="5"/>
      <c r="J67" s="5"/>
      <c r="K67" s="29"/>
      <c r="L67" s="5"/>
      <c r="M67" s="31"/>
      <c r="N67" s="4"/>
      <c r="O67" s="5"/>
    </row>
    <row r="68" spans="1:15" ht="21.75" customHeight="1" x14ac:dyDescent="0.15">
      <c r="A68" s="26"/>
      <c r="C68" s="15"/>
      <c r="D68" s="5"/>
      <c r="E68" s="5"/>
      <c r="F68" s="5"/>
      <c r="G68" s="5"/>
      <c r="H68" s="5"/>
      <c r="I68" s="5"/>
      <c r="J68" s="5"/>
      <c r="K68" s="5"/>
      <c r="L68" s="5"/>
      <c r="M68" s="31"/>
      <c r="N68" s="4"/>
      <c r="O68" s="5"/>
    </row>
    <row r="69" spans="1:15" ht="21.75" customHeight="1" x14ac:dyDescent="0.15">
      <c r="A69" s="26"/>
      <c r="C69" s="15"/>
      <c r="D69" s="5"/>
      <c r="E69" s="5"/>
      <c r="F69" s="5"/>
      <c r="G69" s="5"/>
      <c r="H69" s="5"/>
      <c r="I69" s="5"/>
      <c r="J69" s="5"/>
      <c r="K69" s="5"/>
      <c r="L69" s="5"/>
      <c r="M69" s="31"/>
      <c r="N69" s="4"/>
      <c r="O69" s="5"/>
    </row>
    <row r="70" spans="1:15" ht="21.75" customHeight="1" x14ac:dyDescent="0.15">
      <c r="A70" s="26"/>
      <c r="C70" s="15"/>
      <c r="D70" s="5"/>
      <c r="E70" s="5"/>
      <c r="F70" s="5"/>
      <c r="G70" s="5"/>
      <c r="H70" s="5"/>
      <c r="I70" s="5"/>
      <c r="J70" s="5"/>
      <c r="K70" s="5"/>
      <c r="L70" s="5"/>
      <c r="M70" s="31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25"/>
      <c r="N71" s="4"/>
      <c r="O71" s="5"/>
    </row>
    <row r="72" spans="1:15" ht="21.75" customHeight="1" x14ac:dyDescent="0.15">
      <c r="A72" s="14"/>
      <c r="C72" s="15"/>
      <c r="D72" s="5"/>
      <c r="E72" s="5"/>
      <c r="F72" s="5"/>
      <c r="G72" s="5"/>
      <c r="H72" s="5"/>
      <c r="I72" s="5"/>
      <c r="J72" s="5"/>
      <c r="K72" s="5"/>
      <c r="L72" s="5"/>
      <c r="M72" s="25"/>
      <c r="N72" s="4"/>
      <c r="O72" s="5"/>
    </row>
    <row r="73" spans="1:15" ht="21.75" customHeight="1" x14ac:dyDescent="0.15">
      <c r="A73" s="14"/>
      <c r="C73" s="15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4"/>
      <c r="C74" s="15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4"/>
      <c r="C75" s="15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4"/>
      <c r="C76" s="15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4"/>
      <c r="C77" s="15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D80" s="5"/>
      <c r="E80" s="5"/>
      <c r="F80" s="5"/>
      <c r="G80" s="5"/>
      <c r="H80" s="5"/>
      <c r="I80" s="5"/>
      <c r="J80" s="5"/>
      <c r="K80" s="5"/>
      <c r="L80" s="5"/>
      <c r="M80" s="5"/>
      <c r="N80" s="4"/>
      <c r="O80" s="5"/>
    </row>
    <row r="81" spans="1:15" ht="21.75" customHeight="1" x14ac:dyDescent="0.15">
      <c r="A81" s="13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15">
      <c r="A82" s="13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15">
      <c r="A83" s="13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15">
      <c r="A84" s="13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3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3"/>
      <c r="C86" s="15"/>
      <c r="D86" s="5"/>
      <c r="E86" s="5"/>
      <c r="F86" s="5"/>
      <c r="G86" s="5"/>
      <c r="H86" s="5"/>
      <c r="I86" s="5"/>
      <c r="J86" s="5"/>
      <c r="K86" s="10"/>
      <c r="L86" s="10"/>
      <c r="M86" s="5"/>
      <c r="N86" s="4"/>
      <c r="O86" s="5"/>
    </row>
    <row r="87" spans="1:15" ht="21.75" customHeight="1" x14ac:dyDescent="0.15">
      <c r="A87" s="13"/>
      <c r="C87" s="15"/>
      <c r="D87" s="5"/>
      <c r="E87" s="5"/>
      <c r="F87" s="5"/>
      <c r="G87" s="5"/>
      <c r="H87" s="5"/>
      <c r="I87" s="5"/>
      <c r="J87" s="5"/>
      <c r="K87" s="20"/>
      <c r="L87" s="20"/>
      <c r="M87" s="5"/>
      <c r="N87" s="4"/>
      <c r="O87" s="5"/>
    </row>
    <row r="88" spans="1:15" ht="21.75" customHeight="1" x14ac:dyDescent="0.15">
      <c r="A88" s="13"/>
      <c r="C88" s="15"/>
      <c r="D88" s="5"/>
      <c r="E88" s="5"/>
      <c r="F88" s="5"/>
      <c r="G88" s="5"/>
      <c r="H88" s="5"/>
      <c r="I88" s="5"/>
      <c r="J88" s="5"/>
      <c r="K88" s="20"/>
      <c r="L88" s="20"/>
      <c r="M88" s="5"/>
      <c r="N88" s="4"/>
      <c r="O88" s="5"/>
    </row>
    <row r="89" spans="1:15" ht="21.75" customHeight="1" x14ac:dyDescent="0.15">
      <c r="A89" s="13"/>
      <c r="C89" s="15"/>
      <c r="D89" s="5"/>
      <c r="E89" s="5"/>
      <c r="F89" s="5"/>
      <c r="G89" s="5"/>
      <c r="H89" s="5"/>
      <c r="I89" s="5"/>
      <c r="J89" s="5"/>
      <c r="K89" s="10"/>
      <c r="L89" s="10"/>
      <c r="M89" s="5"/>
      <c r="N89" s="4"/>
      <c r="O89" s="5"/>
    </row>
    <row r="90" spans="1:15" ht="21.75" customHeight="1" x14ac:dyDescent="0.15">
      <c r="A90" s="13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5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5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5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5"/>
      <c r="L96" s="5"/>
      <c r="M96" s="5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5"/>
      <c r="L97" s="5"/>
      <c r="M97" s="5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5"/>
      <c r="L98" s="5"/>
      <c r="M98" s="5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5"/>
      <c r="L99" s="5"/>
      <c r="M99" s="31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1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1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10"/>
      <c r="L102" s="10"/>
      <c r="M102" s="31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20"/>
      <c r="L103" s="20"/>
      <c r="M103" s="31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20"/>
      <c r="L104" s="20"/>
      <c r="M104" s="31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10"/>
      <c r="L105" s="10"/>
      <c r="M105" s="31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1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1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1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1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1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1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5"/>
      <c r="L112" s="5"/>
      <c r="M112" s="31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5"/>
      <c r="L113" s="5"/>
      <c r="M113" s="31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31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5"/>
      <c r="L115" s="5"/>
      <c r="M115" s="31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1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1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10"/>
      <c r="L118" s="10"/>
      <c r="M118" s="31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20"/>
      <c r="L119" s="20"/>
      <c r="M119" s="31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20"/>
      <c r="L120" s="20"/>
      <c r="M120" s="31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10"/>
      <c r="L121" s="10"/>
      <c r="M121" s="31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1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1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1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1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1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1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5"/>
      <c r="L128" s="5"/>
      <c r="M128" s="31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31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31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5"/>
      <c r="L131" s="5"/>
      <c r="M131" s="31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1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1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10"/>
      <c r="L134" s="10"/>
      <c r="M134" s="31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20"/>
      <c r="L135" s="20"/>
      <c r="M135" s="31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20"/>
      <c r="L136" s="20"/>
      <c r="M136" s="31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10"/>
      <c r="L137" s="10"/>
      <c r="M137" s="31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1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1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1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1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1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1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5"/>
      <c r="L144" s="5"/>
      <c r="M144" s="31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31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31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5"/>
      <c r="L147" s="5"/>
      <c r="M147" s="31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1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1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10"/>
      <c r="L150" s="10"/>
      <c r="M150" s="31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20"/>
      <c r="L151" s="20"/>
      <c r="M151" s="31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20"/>
      <c r="L152" s="20"/>
      <c r="M152" s="31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10"/>
      <c r="L153" s="10"/>
      <c r="M153" s="31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1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1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1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1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1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1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5"/>
      <c r="L160" s="5"/>
      <c r="M160" s="31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31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31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5"/>
      <c r="L163" s="5"/>
      <c r="M163" s="31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1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1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10"/>
      <c r="L166" s="10"/>
      <c r="M166" s="31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20"/>
      <c r="L167" s="20"/>
      <c r="M167" s="31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20"/>
      <c r="L168" s="20"/>
      <c r="M168" s="31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10"/>
      <c r="L169" s="10"/>
      <c r="M169" s="31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1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1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1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1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1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1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5"/>
      <c r="L176" s="5"/>
      <c r="M176" s="31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31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31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5"/>
      <c r="L179" s="5"/>
      <c r="M179" s="31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1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1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10"/>
      <c r="L182" s="10"/>
      <c r="M182" s="31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20"/>
      <c r="L183" s="20"/>
      <c r="M183" s="31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20"/>
      <c r="L184" s="20"/>
      <c r="M184" s="31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10"/>
      <c r="L185" s="10"/>
      <c r="M185" s="31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1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1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1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1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1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1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5"/>
      <c r="L192" s="5"/>
      <c r="M192" s="31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31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5"/>
      <c r="L194" s="5"/>
      <c r="M194" s="31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5"/>
      <c r="L195" s="5"/>
      <c r="M195" s="31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1"/>
      <c r="N196" s="4"/>
      <c r="O196" s="5"/>
    </row>
    <row r="197" spans="1:15" x14ac:dyDescent="0.15">
      <c r="A197" s="14"/>
      <c r="C197" s="15"/>
      <c r="D197" s="5"/>
      <c r="E197" s="5"/>
      <c r="F197" s="5"/>
      <c r="G197" s="5"/>
      <c r="H197" s="5"/>
      <c r="I197" s="5"/>
      <c r="J197" s="5"/>
      <c r="K197" s="5"/>
      <c r="L197" s="5"/>
      <c r="M197" s="31"/>
      <c r="N197" s="4"/>
      <c r="O197" s="5"/>
    </row>
    <row r="198" spans="1:15" x14ac:dyDescent="0.15">
      <c r="A198" s="14"/>
      <c r="C198" s="15"/>
      <c r="D198" s="5"/>
      <c r="E198" s="5"/>
      <c r="F198" s="5"/>
      <c r="G198" s="5"/>
      <c r="H198" s="5"/>
      <c r="I198" s="5"/>
      <c r="J198" s="5"/>
      <c r="K198" s="10"/>
      <c r="L198" s="10"/>
      <c r="M198" s="31"/>
      <c r="N198" s="4"/>
      <c r="O198" s="5"/>
    </row>
    <row r="199" spans="1:15" x14ac:dyDescent="0.15">
      <c r="A199" s="14"/>
      <c r="C199" s="15"/>
      <c r="D199" s="5"/>
      <c r="E199" s="5"/>
      <c r="F199" s="5"/>
      <c r="G199" s="5"/>
      <c r="H199" s="5"/>
      <c r="I199" s="5"/>
      <c r="J199" s="5"/>
      <c r="K199" s="20"/>
      <c r="L199" s="20"/>
      <c r="M199" s="31"/>
      <c r="N199" s="4"/>
      <c r="O199" s="5"/>
    </row>
    <row r="200" spans="1:15" x14ac:dyDescent="0.15">
      <c r="A200" s="14"/>
      <c r="C200" s="15"/>
      <c r="D200" s="5"/>
      <c r="E200" s="5"/>
      <c r="F200" s="5"/>
      <c r="G200" s="5"/>
      <c r="H200" s="5"/>
      <c r="I200" s="5"/>
      <c r="J200" s="5"/>
      <c r="K200" s="20"/>
      <c r="L200" s="20"/>
      <c r="M200" s="31"/>
      <c r="N200" s="4"/>
      <c r="O200" s="5"/>
    </row>
    <row r="201" spans="1:15" x14ac:dyDescent="0.15">
      <c r="A201" s="14"/>
      <c r="C201" s="15"/>
      <c r="D201" s="5"/>
      <c r="E201" s="5"/>
      <c r="F201" s="5"/>
      <c r="G201" s="5"/>
      <c r="H201" s="5"/>
      <c r="I201" s="5"/>
      <c r="J201" s="5"/>
      <c r="K201" s="10"/>
      <c r="L201" s="10"/>
      <c r="M201" s="31"/>
      <c r="N201" s="4"/>
      <c r="O201" s="5"/>
    </row>
    <row r="202" spans="1:15" x14ac:dyDescent="0.15">
      <c r="A202" s="14"/>
      <c r="C202" s="15"/>
      <c r="D202" s="5"/>
      <c r="E202" s="5"/>
      <c r="F202" s="5"/>
      <c r="G202" s="5"/>
      <c r="H202" s="5"/>
      <c r="I202" s="5"/>
      <c r="J202" s="5"/>
      <c r="K202" s="5"/>
      <c r="L202" s="5"/>
      <c r="M202" s="31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  <row r="210" spans="1:15" x14ac:dyDescent="0.15">
      <c r="A210" s="14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"/>
      <c r="O210" s="5"/>
    </row>
    <row r="211" spans="1:15" x14ac:dyDescent="0.15">
      <c r="A211" s="14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"/>
      <c r="O211" s="5"/>
    </row>
    <row r="212" spans="1:15" x14ac:dyDescent="0.15">
      <c r="A212" s="14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"/>
      <c r="O212" s="5"/>
    </row>
    <row r="213" spans="1:15" x14ac:dyDescent="0.15">
      <c r="A213" s="14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"/>
      <c r="O213" s="5"/>
    </row>
    <row r="214" spans="1:15" x14ac:dyDescent="0.15">
      <c r="A214" s="14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"/>
      <c r="O214" s="5"/>
    </row>
    <row r="215" spans="1:15" x14ac:dyDescent="0.15">
      <c r="A215" s="14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"/>
      <c r="O215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 A20:A35</xm:sqref>
        </x14:dataValidation>
        <x14:dataValidation type="list" allowBlank="1" showInputMessage="1" showErrorMessage="1">
          <x14:formula1>
            <xm:f>LISTBOX_DATA!$B$1:$B$9</xm:f>
          </x14:formula1>
          <xm:sqref>D20:D35</xm:sqref>
        </x14:dataValidation>
        <x14:dataValidation type="list" allowBlank="1" showInputMessage="1" showErrorMessage="1">
          <x14:formula1>
            <xm:f>LISTBOX_DATA!$C$1:$C$5</xm:f>
          </x14:formula1>
          <xm:sqref>E20:E58</xm:sqref>
        </x14:dataValidation>
        <x14:dataValidation type="list" allowBlank="1" showInputMessage="1" showErrorMessage="1">
          <x14:formula1>
            <xm:f>LISTBOX_DATA!$D$1:$D$5</xm:f>
          </x14:formula1>
          <xm:sqref>H20:H58</xm:sqref>
        </x14:dataValidation>
        <x14:dataValidation type="list" allowBlank="1" showInputMessage="1" showErrorMessage="1">
          <x14:formula1>
            <xm:f>LISTBOX_DATA!$E$1:$E$4</xm:f>
          </x14:formula1>
          <xm:sqref>I20:I58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50</v>
      </c>
      <c r="D1" s="1" t="s">
        <v>43</v>
      </c>
      <c r="E1" s="1" t="s">
        <v>51</v>
      </c>
      <c r="F1" s="1" t="s">
        <v>77</v>
      </c>
    </row>
    <row r="2" spans="1:6" x14ac:dyDescent="0.15">
      <c r="A2" s="1" t="s">
        <v>18</v>
      </c>
      <c r="B2" s="1" t="s">
        <v>20</v>
      </c>
      <c r="C2" s="1" t="s">
        <v>26</v>
      </c>
      <c r="D2" s="1" t="s">
        <v>44</v>
      </c>
      <c r="E2" s="1" t="s">
        <v>31</v>
      </c>
      <c r="F2" s="1" t="s">
        <v>78</v>
      </c>
    </row>
    <row r="3" spans="1:6" x14ac:dyDescent="0.15">
      <c r="A3" s="1" t="s">
        <v>23</v>
      </c>
      <c r="B3" s="1" t="s">
        <v>28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125</v>
      </c>
      <c r="B4" s="1" t="s">
        <v>55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126</v>
      </c>
      <c r="B5" s="1" t="s">
        <v>38</v>
      </c>
      <c r="C5" s="1" t="s">
        <v>53</v>
      </c>
      <c r="D5" s="1" t="s">
        <v>41</v>
      </c>
    </row>
    <row r="6" spans="1:6" x14ac:dyDescent="0.15">
      <c r="A6" s="1" t="s">
        <v>127</v>
      </c>
      <c r="B6" s="1" t="s">
        <v>36</v>
      </c>
    </row>
    <row r="7" spans="1:6" x14ac:dyDescent="0.1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147</vt:i4>
      </vt:variant>
    </vt:vector>
  </HeadingPairs>
  <TitlesOfParts>
    <vt:vector size="153" baseType="lpstr">
      <vt:lpstr>sample_commandReference</vt:lpstr>
      <vt:lpstr>template</vt:lpstr>
      <vt:lpstr>BATCH_RUN</vt:lpstr>
      <vt:lpstr>CheckForUpdates</vt:lpstr>
      <vt:lpstr>REPORT_RESULTS</vt:lpstr>
      <vt:lpstr>LISTBOX_DATA</vt:lpstr>
      <vt:lpstr>CheckForUpdates!ActionTarget</vt:lpstr>
      <vt:lpstr>REPORT_RESULTS!ActionTarget</vt:lpstr>
      <vt:lpstr>sample_commandReference!ActionTarget</vt:lpstr>
      <vt:lpstr>ActionTarget</vt:lpstr>
      <vt:lpstr>CheckForUpdates!ActionValue</vt:lpstr>
      <vt:lpstr>REPORT_RESULTS!ActionValue</vt:lpstr>
      <vt:lpstr>sample_commandReference!ActionValue</vt:lpstr>
      <vt:lpstr>ActionValue</vt:lpstr>
      <vt:lpstr>CheckForUpdates!ActualResult</vt:lpstr>
      <vt:lpstr>REPORT_RESULTS!ActualResult</vt:lpstr>
      <vt:lpstr>sample_commandReference!ActualResult</vt:lpstr>
      <vt:lpstr>ActualResult</vt:lpstr>
      <vt:lpstr>CheckForUpdates!baseURL</vt:lpstr>
      <vt:lpstr>REPORT_RESULTS!baseURL</vt:lpstr>
      <vt:lpstr>sample_commandReference!baseURL</vt:lpstr>
      <vt:lpstr>baseURL</vt:lpstr>
      <vt:lpstr>CheckForUpdates!batchFailed</vt:lpstr>
      <vt:lpstr>REPORT_RESULTS!batchFailed</vt:lpstr>
      <vt:lpstr>sample_commandReference!batchFailed</vt:lpstr>
      <vt:lpstr>batchFailed</vt:lpstr>
      <vt:lpstr>CheckForUpdates!batchNotTested</vt:lpstr>
      <vt:lpstr>REPORT_RESULTS!batchNotTested</vt:lpstr>
      <vt:lpstr>sample_commandReference!batchNotTested</vt:lpstr>
      <vt:lpstr>batchNotTested</vt:lpstr>
      <vt:lpstr>CheckForUpdates!batchPassed</vt:lpstr>
      <vt:lpstr>REPORT_RESULTS!batchPassed</vt:lpstr>
      <vt:lpstr>sample_commandReference!batchPassed</vt:lpstr>
      <vt:lpstr>batchPassed</vt:lpstr>
      <vt:lpstr>CheckForUpdates!batchSkipped</vt:lpstr>
      <vt:lpstr>REPORT_RESULTS!batchSkipped</vt:lpstr>
      <vt:lpstr>sample_commandReference!batchSkipped</vt:lpstr>
      <vt:lpstr>batchSkipped</vt:lpstr>
      <vt:lpstr>CheckForUpdates!batchTarget</vt:lpstr>
      <vt:lpstr>REPORT_RESULTS!batchTarget</vt:lpstr>
      <vt:lpstr>sample_commandReference!batchTarget</vt:lpstr>
      <vt:lpstr>batchTarget</vt:lpstr>
      <vt:lpstr>CheckForUpdates!batchTotal</vt:lpstr>
      <vt:lpstr>REPORT_RESULTS!batchTotal</vt:lpstr>
      <vt:lpstr>sample_commandReference!batchTotal</vt:lpstr>
      <vt:lpstr>batchTotal</vt:lpstr>
      <vt:lpstr>CheckForUpdates!Command</vt:lpstr>
      <vt:lpstr>REPORT_RESULTS!Command</vt:lpstr>
      <vt:lpstr>sample_commandReference!Command</vt:lpstr>
      <vt:lpstr>Command</vt:lpstr>
      <vt:lpstr>CheckForUpdates!DeleteCookie</vt:lpstr>
      <vt:lpstr>REPORT_RESULTS!DeleteCookie</vt:lpstr>
      <vt:lpstr>sample_commandReference!DeleteCookie</vt:lpstr>
      <vt:lpstr>DeleteCookie</vt:lpstr>
      <vt:lpstr>CheckForUpdates!Description</vt:lpstr>
      <vt:lpstr>REPORT_RESULTS!Description</vt:lpstr>
      <vt:lpstr>sample_commandReference!Description</vt:lpstr>
      <vt:lpstr>Description</vt:lpstr>
      <vt:lpstr>CheckForUpdates!Error_Message</vt:lpstr>
      <vt:lpstr>REPORT_RESULTS!Error_Message</vt:lpstr>
      <vt:lpstr>sample_commandReference!Error_Message</vt:lpstr>
      <vt:lpstr>Error_Message</vt:lpstr>
      <vt:lpstr>CheckForUpdates!ExpectedResult</vt:lpstr>
      <vt:lpstr>REPORT_RESULTS!ExpectedResult</vt:lpstr>
      <vt:lpstr>sample_commandReference!ExpectedResult</vt:lpstr>
      <vt:lpstr>ExpectedResult</vt:lpstr>
      <vt:lpstr>CheckForUpdates!Failed</vt:lpstr>
      <vt:lpstr>sample_commandReference!Failed</vt:lpstr>
      <vt:lpstr>Failed</vt:lpstr>
      <vt:lpstr>CheckForUpdates!FindMethod</vt:lpstr>
      <vt:lpstr>REPORT_RESULTS!FindMethod</vt:lpstr>
      <vt:lpstr>sample_commandReference!FindMethod</vt:lpstr>
      <vt:lpstr>FindMethod</vt:lpstr>
      <vt:lpstr>CheckForUpdates!LastUpdate</vt:lpstr>
      <vt:lpstr>REPORT_RESULTS!LastUpdate</vt:lpstr>
      <vt:lpstr>sample_commandReference!LastUpdate</vt:lpstr>
      <vt:lpstr>LastUpdate</vt:lpstr>
      <vt:lpstr>CheckForUpdates!Memo</vt:lpstr>
      <vt:lpstr>REPORT_RESULTS!Memo</vt:lpstr>
      <vt:lpstr>sample_commandReference!Memo</vt:lpstr>
      <vt:lpstr>Memo</vt:lpstr>
      <vt:lpstr>CheckForUpdates!NotTested</vt:lpstr>
      <vt:lpstr>sample_commandReference!NotTested</vt:lpstr>
      <vt:lpstr>NotTested</vt:lpstr>
      <vt:lpstr>CheckForUpdates!Passed</vt:lpstr>
      <vt:lpstr>sample_commandReference!Passed</vt:lpstr>
      <vt:lpstr>Passed</vt:lpstr>
      <vt:lpstr>CheckForUpdates!Progressrate</vt:lpstr>
      <vt:lpstr>sample_commandReference!Progressrate</vt:lpstr>
      <vt:lpstr>Progressrate</vt:lpstr>
      <vt:lpstr>CheckForUpdates!Result</vt:lpstr>
      <vt:lpstr>REPORT_RESULTS!Result</vt:lpstr>
      <vt:lpstr>sample_commandReference!Result</vt:lpstr>
      <vt:lpstr>Result</vt:lpstr>
      <vt:lpstr>ResultsSummary</vt:lpstr>
      <vt:lpstr>CheckForUpdates!runTarget</vt:lpstr>
      <vt:lpstr>REPORT_RESULTS!runTarget</vt:lpstr>
      <vt:lpstr>sample_commandReference!runTarget</vt:lpstr>
      <vt:lpstr>runTarget</vt:lpstr>
      <vt:lpstr>CheckForUpdates!ScreenshotPath</vt:lpstr>
      <vt:lpstr>REPORT_RESULTS!ScreenshotPath</vt:lpstr>
      <vt:lpstr>sample_commandReference!ScreenshotPath</vt:lpstr>
      <vt:lpstr>ScreenshotPath</vt:lpstr>
      <vt:lpstr>CheckForUpdates!scriptID</vt:lpstr>
      <vt:lpstr>REPORT_RESULTS!scriptID</vt:lpstr>
      <vt:lpstr>sample_commandReference!scriptID</vt:lpstr>
      <vt:lpstr>scriptID</vt:lpstr>
      <vt:lpstr>CheckForUpdates!SheetName</vt:lpstr>
      <vt:lpstr>REPORT_RESULTS!SheetName</vt:lpstr>
      <vt:lpstr>sample_commandReference!SheetName</vt:lpstr>
      <vt:lpstr>SheetName</vt:lpstr>
      <vt:lpstr>CheckForUpdates!Skipped</vt:lpstr>
      <vt:lpstr>sample_commandReference!Skipped</vt:lpstr>
      <vt:lpstr>Skipped</vt:lpstr>
      <vt:lpstr>CheckForUpdates!status</vt:lpstr>
      <vt:lpstr>REPORT_RESULTS!status</vt:lpstr>
      <vt:lpstr>sample_commandReference!status</vt:lpstr>
      <vt:lpstr>status</vt:lpstr>
      <vt:lpstr>CheckForUpdates!targetBrowser</vt:lpstr>
      <vt:lpstr>REPORT_RESULTS!targetBrowser</vt:lpstr>
      <vt:lpstr>sample_commandReference!targetBrowser</vt:lpstr>
      <vt:lpstr>targetBrowser</vt:lpstr>
      <vt:lpstr>TestScript</vt:lpstr>
      <vt:lpstr>CheckForUpdates!TestScriptLabel</vt:lpstr>
      <vt:lpstr>REPORT_RESULTS!TestScriptLabel</vt:lpstr>
      <vt:lpstr>sample_commandReference!TestScriptLabel</vt:lpstr>
      <vt:lpstr>TestScriptLabel</vt:lpstr>
      <vt:lpstr>CheckForUpdates!testTitle</vt:lpstr>
      <vt:lpstr>sample_commandReference!testTitle</vt:lpstr>
      <vt:lpstr>testTitle</vt:lpstr>
      <vt:lpstr>CheckForUpdates!Total</vt:lpstr>
      <vt:lpstr>sample_commandReference!Total</vt:lpstr>
      <vt:lpstr>Total</vt:lpstr>
      <vt:lpstr>CheckForUpdates!VerificationCommand</vt:lpstr>
      <vt:lpstr>REPORT_RESULTS!VerificationCommand</vt:lpstr>
      <vt:lpstr>sample_commandReference!VerificationCommand</vt:lpstr>
      <vt:lpstr>VerificationCommand</vt:lpstr>
      <vt:lpstr>CheckForUpdates!Verificationmethod</vt:lpstr>
      <vt:lpstr>REPORT_RESULTS!Verificationmethod</vt:lpstr>
      <vt:lpstr>sample_commandReference!Verificationmethod</vt:lpstr>
      <vt:lpstr>Verificationmethod</vt:lpstr>
      <vt:lpstr>CheckForUpdates!VerificationTarget</vt:lpstr>
      <vt:lpstr>REPORT_RESULTS!VerificationTarget</vt:lpstr>
      <vt:lpstr>sample_commandReference!VerificationTarget</vt:lpstr>
      <vt:lpstr>VerificationTarget</vt:lpstr>
      <vt:lpstr>CheckForUpdates!windowSizeH</vt:lpstr>
      <vt:lpstr>REPORT_RESULTS!windowSizeH</vt:lpstr>
      <vt:lpstr>sample_commandReference!windowSizeH</vt:lpstr>
      <vt:lpstr>windowSizeH</vt:lpstr>
      <vt:lpstr>CheckForUpdates!windowSizeW</vt:lpstr>
      <vt:lpstr>REPORT_RESULTS!windowSizeW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2017-01-05T15:06:41Z</dcterms:modified>
</cp:coreProperties>
</file>