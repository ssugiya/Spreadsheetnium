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git\GitHub\Spreadsheetnium\"/>
    </mc:Choice>
  </mc:AlternateContent>
  <bookViews>
    <workbookView xWindow="0" yWindow="15" windowWidth="28800" windowHeight="12105" activeTab="2"/>
  </bookViews>
  <sheets>
    <sheet name="sample_commandReference" sheetId="16" r:id="rId1"/>
    <sheet name="template" sheetId="4" r:id="rId2"/>
    <sheet name="BATCH" sheetId="20" r:id="rId3"/>
    <sheet name="REPORT_RESULTS" sheetId="19" r:id="rId4"/>
    <sheet name="UPDATES" sheetId="17" r:id="rId5"/>
    <sheet name="LISTBOX_DATA" sheetId="2" r:id="rId6"/>
  </sheets>
  <definedNames>
    <definedName name="ActionTarget" localSheetId="3">TestScriptTable3[[#Headers],[ActionTarget]]</definedName>
    <definedName name="ActionTarget" localSheetId="0">TestScriptTable9[[#Headers],[ActionTarget]]</definedName>
    <definedName name="ActionTarget" localSheetId="4">TestScriptTable12[[#Headers],[ActionTarget]]</definedName>
    <definedName name="ActionTarget">TestScriptTable[[#Headers],[ActionTarget]]</definedName>
    <definedName name="ActionValue" localSheetId="3">TestScriptTable3[[#Headers],[ActionValue]]</definedName>
    <definedName name="ActionValue" localSheetId="0">TestScriptTable9[[#Headers],[ActionValue]]</definedName>
    <definedName name="ActionValue" localSheetId="4">TestScriptTable12[[#Headers],[ActionValue]]</definedName>
    <definedName name="ActionValue">TestScriptTable[[#Headers],[ActionValue]]</definedName>
    <definedName name="ActualResult" localSheetId="3">TestScriptTable3[[#Headers],[ActualResult]]</definedName>
    <definedName name="ActualResult" localSheetId="0">TestScriptTable9[[#Headers],[ActualResult]]</definedName>
    <definedName name="ActualResult" localSheetId="4">TestScriptTable12[[#Headers],[ActualResult]]</definedName>
    <definedName name="ActualResult">TestScriptTable[[#Headers],[ActualResult]]</definedName>
    <definedName name="AutoRun">BATCH!$B$9</definedName>
    <definedName name="baseURL" localSheetId="3">REPORT_RESULTS!$B$10</definedName>
    <definedName name="baseURL" localSheetId="0">sample_commandReference!$B$10</definedName>
    <definedName name="baseURL" localSheetId="4">UPDATES!$B$10</definedName>
    <definedName name="baseURL">template!$B$10</definedName>
    <definedName name="batchTarget" localSheetId="2">batchRunTBL[[#Headers],[run target]]</definedName>
    <definedName name="Command" localSheetId="3">TestScriptTable3[[#Headers],[Command]]</definedName>
    <definedName name="Command" localSheetId="0">TestScriptTable9[[#Headers],[Command]]</definedName>
    <definedName name="Command" localSheetId="4">TestScriptTable12[[#Headers],[Command]]</definedName>
    <definedName name="Command">TestScriptTable[[#Headers],[Command]]</definedName>
    <definedName name="DeleteCookie" localSheetId="2">BATCH!$B$9</definedName>
    <definedName name="DeleteCookie" localSheetId="3">REPORT_RESULTS!$B$14</definedName>
    <definedName name="DeleteCookie" localSheetId="0">sample_commandReference!$B$14</definedName>
    <definedName name="DeleteCookie" localSheetId="4">UPDATES!$B$14</definedName>
    <definedName name="DeleteCookie">template!$B$14</definedName>
    <definedName name="Description" localSheetId="3">TestScriptTable3[[#Headers],[Description]]</definedName>
    <definedName name="Description" localSheetId="0">TestScriptTable9[[#Headers],[Description]]</definedName>
    <definedName name="Description" localSheetId="4">TestScriptTable12[[#Headers],[Description]]</definedName>
    <definedName name="Description">TestScriptTable[[#Headers],[Description]]</definedName>
    <definedName name="Error_Message" localSheetId="3">TestScriptTable3[[#Headers],[ErrorMessage]]</definedName>
    <definedName name="Error_Message" localSheetId="0">TestScriptTable9[[#Headers],[ErrorMessage]]</definedName>
    <definedName name="Error_Message" localSheetId="4">TestScriptTable12[[#Headers],[ErrorMessage]]</definedName>
    <definedName name="Error_Message">TestScriptTable[[#Headers],[ErrorMessage]]</definedName>
    <definedName name="ExpectedResult" localSheetId="3">TestScriptTable3[[#Headers],[ExpectedResult]]</definedName>
    <definedName name="ExpectedResult" localSheetId="0">TestScriptTable9[[#Headers],[ExpectedResult]]</definedName>
    <definedName name="ExpectedResult" localSheetId="4">TestScriptTable12[[#Headers],[ExpectedResult]]</definedName>
    <definedName name="ExpectedResult">TestScriptTable[[#Headers],[ExpectedResult]]</definedName>
    <definedName name="Failed" localSheetId="2">BATCH!$E$11</definedName>
    <definedName name="Failed" localSheetId="3">REPORT_RESULTS!$E$11</definedName>
    <definedName name="Failed" localSheetId="0">sample_commandReference!$E$11</definedName>
    <definedName name="Failed" localSheetId="4">UPDATES!$E$11</definedName>
    <definedName name="Failed">template!$E$11</definedName>
    <definedName name="FindMethod" localSheetId="3">TestScriptTable3[[#Headers],[FindMethod]]</definedName>
    <definedName name="FindMethod" localSheetId="0">TestScriptTable9[[#Headers],[FindMethod]]</definedName>
    <definedName name="FindMethod" localSheetId="4">TestScriptTable12[[#Headers],[FindMethod]]</definedName>
    <definedName name="FindMethod">TestScriptTable[[#Headers],[FindMethod]]</definedName>
    <definedName name="LastUpdate" localSheetId="3">TestScriptTable3[[#Headers],[LastUpdate]]</definedName>
    <definedName name="LastUpdate" localSheetId="0">TestScriptTable9[[#Headers],[LastUpdate]]</definedName>
    <definedName name="LastUpdate" localSheetId="4">TestScriptTable12[[#Headers],[LastUpdate]]</definedName>
    <definedName name="LastUpdate">TestScriptTable[[#Headers],[LastUpdate]]</definedName>
    <definedName name="Memo" localSheetId="3">TestScriptTable3[[#Headers],[Memo]]</definedName>
    <definedName name="Memo" localSheetId="0">TestScriptTable9[[#Headers],[Memo]]</definedName>
    <definedName name="Memo" localSheetId="4">TestScriptTable12[[#Headers],[Memo]]</definedName>
    <definedName name="Memo">TestScriptTable[[#Headers],[Memo]]</definedName>
    <definedName name="NotTested" localSheetId="2">BATCH!$E$9</definedName>
    <definedName name="NotTested" localSheetId="3">REPORT_RESULTS!$E$9</definedName>
    <definedName name="NotTested" localSheetId="0">sample_commandReference!$E$9</definedName>
    <definedName name="NotTested" localSheetId="4">UPDATES!$E$9</definedName>
    <definedName name="NotTested">template!$E$9</definedName>
    <definedName name="Passed" localSheetId="2">BATCH!$E$10</definedName>
    <definedName name="Passed" localSheetId="3">REPORT_RESULTS!$E$10</definedName>
    <definedName name="Passed" localSheetId="0">sample_commandReference!$E$10</definedName>
    <definedName name="Passed" localSheetId="4">UPDATES!$E$10</definedName>
    <definedName name="Passed">template!$E$10</definedName>
    <definedName name="Progressrate" localSheetId="2">BATCH!$E$14</definedName>
    <definedName name="Progressrate" localSheetId="3">REPORT_RESULTS!$E$14</definedName>
    <definedName name="Progressrate" localSheetId="0">sample_commandReference!$E$14</definedName>
    <definedName name="Progressrate" localSheetId="4">UPDATES!$E$14</definedName>
    <definedName name="Progressrate">template!$E$14</definedName>
    <definedName name="ReportResults" localSheetId="2">BATCH!$B$10</definedName>
    <definedName name="ReportResults" localSheetId="3">REPORT_RESULTS!$B$15</definedName>
    <definedName name="ReportResults" localSheetId="0">sample_commandReference!$B$15</definedName>
    <definedName name="ReportResults" localSheetId="4">UPDATES!$B$15</definedName>
    <definedName name="ReportResults">template!$B$15</definedName>
    <definedName name="Result" localSheetId="3">TestScriptTable3[[#Headers],[Result]]</definedName>
    <definedName name="Result" localSheetId="0">TestScriptTable9[[#Headers],[Result]]</definedName>
    <definedName name="Result" localSheetId="4">TestScriptTable12[[#Headers],[Result]]</definedName>
    <definedName name="Result">TestScriptTable[[#Headers],[Result]]</definedName>
    <definedName name="ResultsSummary">BATCH!$A$18</definedName>
    <definedName name="runTarget" localSheetId="2">batchRunTBL[[#Headers],[run target]]</definedName>
    <definedName name="runTarget" localSheetId="3">TestScriptTable3[[#Headers],[runTarget]]</definedName>
    <definedName name="runTarget" localSheetId="0">TestScriptTable9[[#Headers],[runTarget]]</definedName>
    <definedName name="runTarget" localSheetId="4">TestScriptTable12[[#Headers],[runTarget]]</definedName>
    <definedName name="runTarget">TestScriptTable[[#Headers],[runTarget]]</definedName>
    <definedName name="ScreenshotPath" localSheetId="3">REPORT_RESULTS!$B$13</definedName>
    <definedName name="ScreenshotPath" localSheetId="0">sample_commandReference!$B$13</definedName>
    <definedName name="ScreenshotPath" localSheetId="4">UPDATES!$B$13</definedName>
    <definedName name="ScreenshotPath">template!$B$13</definedName>
    <definedName name="scriptID" localSheetId="3">TestScriptTable3[[#Headers],[scriptID]]</definedName>
    <definedName name="scriptID" localSheetId="0">TestScriptTable9[[#Headers],[scriptID]]</definedName>
    <definedName name="scriptID" localSheetId="4">TestScriptTable12[[#Headers],[scriptID]]</definedName>
    <definedName name="scriptID">TestScriptTable[[#Headers],[scriptID]]</definedName>
    <definedName name="SheetName" localSheetId="2">batchRunTBL[[#Headers],[SheetName]]</definedName>
    <definedName name="Skipped" localSheetId="2">BATCH!$E$12</definedName>
    <definedName name="Skipped" localSheetId="3">REPORT_RESULTS!$E$12</definedName>
    <definedName name="Skipped" localSheetId="0">sample_commandReference!$E$12</definedName>
    <definedName name="Skipped" localSheetId="4">UPDATES!$E$12</definedName>
    <definedName name="Skipped">template!$E$12</definedName>
    <definedName name="status" localSheetId="2">batchRunTBL[[#Headers],[Status]]</definedName>
    <definedName name="StatusButton">"四角形: 角を丸くする 1"</definedName>
    <definedName name="targetBrowser" localSheetId="3">REPORT_RESULTS!$B$9</definedName>
    <definedName name="targetBrowser" localSheetId="0">sample_commandReference!$B$9</definedName>
    <definedName name="targetBrowser" localSheetId="4">UPDATES!$B$9</definedName>
    <definedName name="targetBrowser">template!$B$9</definedName>
    <definedName name="TestScript" localSheetId="3">REPORT_RESULTS!$A$17</definedName>
    <definedName name="TestScript">template!$A$17</definedName>
    <definedName name="TestScriptLabel" localSheetId="3">REPORT_RESULTS!$A$17</definedName>
    <definedName name="TestScriptLabel" localSheetId="0">sample_commandReference!$A$17</definedName>
    <definedName name="TestScriptLabel" localSheetId="4">UPDATES!$A$17</definedName>
    <definedName name="TestScriptLabel">template!$A$17</definedName>
    <definedName name="testTitle" localSheetId="2">BATCH!$A$1</definedName>
    <definedName name="testTitle" localSheetId="3">REPORT_RESULTS!$A$1</definedName>
    <definedName name="testTitle" localSheetId="0">sample_commandReference!$A$1</definedName>
    <definedName name="testTitle" localSheetId="4">UPDATES!$A$1</definedName>
    <definedName name="testTitle">template!$A$1</definedName>
    <definedName name="Total" localSheetId="2">BATCH!$E$13</definedName>
    <definedName name="Total" localSheetId="3">REPORT_RESULTS!$E$13</definedName>
    <definedName name="Total" localSheetId="0">sample_commandReference!$E$13</definedName>
    <definedName name="Total" localSheetId="4">UPDATES!$E$13</definedName>
    <definedName name="Total">template!$E$13</definedName>
    <definedName name="VerificationCommand" localSheetId="3">TestScriptTable3[[#Headers],[VerificationCommand]]</definedName>
    <definedName name="VerificationCommand" localSheetId="0">TestScriptTable9[[#Headers],[VerificationCommand]]</definedName>
    <definedName name="VerificationCommand" localSheetId="4">TestScriptTable12[[#Headers],[VerificationCommand]]</definedName>
    <definedName name="VerificationCommand">TestScriptTable[[#Headers],[VerificationCommand]]</definedName>
    <definedName name="Verificationmethod" localSheetId="3">TestScriptTable3[[#Headers],[Verificationmethod]]</definedName>
    <definedName name="Verificationmethod" localSheetId="0">TestScriptTable9[[#Headers],[Verificationmethod]]</definedName>
    <definedName name="Verificationmethod" localSheetId="4">TestScriptTable12[[#Headers],[Verificationmethod]]</definedName>
    <definedName name="Verificationmethod">TestScriptTable[[#Headers],[Verificationmethod]]</definedName>
    <definedName name="VerificationTarget" localSheetId="3">TestScriptTable3[[#Headers],[VerificationTarget]]</definedName>
    <definedName name="VerificationTarget" localSheetId="0">TestScriptTable9[[#Headers],[VerificationTarget]]</definedName>
    <definedName name="VerificationTarget" localSheetId="4">TestScriptTable12[[#Headers],[VerificationTarget]]</definedName>
    <definedName name="VerificationTarget">TestScriptTable[[#Headers],[VerificationTarget]]</definedName>
    <definedName name="windowSizeH" localSheetId="3">REPORT_RESULTS!$B$12</definedName>
    <definedName name="windowSizeH" localSheetId="0">sample_commandReference!$B$12</definedName>
    <definedName name="windowSizeH" localSheetId="4">UPDATES!$B$12</definedName>
    <definedName name="windowSizeH">template!$B$12</definedName>
    <definedName name="windowSizeW" localSheetId="3">REPORT_RESULTS!$B$11</definedName>
    <definedName name="windowSizeW" localSheetId="0">sample_commandReference!$B$11</definedName>
    <definedName name="windowSizeW" localSheetId="4">UPDATES!$B$11</definedName>
    <definedName name="windowSizeW">template!$B$11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1" i="17" l="1"/>
  <c r="G47" i="19" l="1"/>
  <c r="E13" i="20" l="1"/>
  <c r="E12" i="20"/>
  <c r="E11" i="20"/>
  <c r="E10" i="20"/>
  <c r="E9" i="20"/>
  <c r="E14" i="20" l="1"/>
  <c r="G34" i="19"/>
  <c r="G25" i="19"/>
  <c r="E13" i="19" l="1"/>
  <c r="E12" i="19"/>
  <c r="E11" i="19"/>
  <c r="E10" i="19"/>
  <c r="E9" i="19" l="1"/>
  <c r="E14" i="19" s="1"/>
  <c r="E13" i="17"/>
  <c r="E12" i="17"/>
  <c r="E11" i="17"/>
  <c r="E10" i="17"/>
  <c r="E13" i="16"/>
  <c r="E12" i="16"/>
  <c r="E11" i="16"/>
  <c r="E10" i="16"/>
  <c r="E9" i="17" l="1"/>
  <c r="E14" i="17" s="1"/>
  <c r="E9" i="16"/>
  <c r="E14" i="16" s="1"/>
  <c r="E13" i="4" l="1"/>
  <c r="E10" i="4"/>
  <c r="E12" i="4"/>
  <c r="E11" i="4"/>
  <c r="E9" i="4" l="1"/>
  <c r="E14" i="4" s="1"/>
</calcChain>
</file>

<file path=xl/sharedStrings.xml><?xml version="1.0" encoding="utf-8"?>
<sst xmlns="http://schemas.openxmlformats.org/spreadsheetml/2006/main" count="816" uniqueCount="305">
  <si>
    <t>Browser</t>
    <phoneticPr fontId="1"/>
  </si>
  <si>
    <t>ActionTarget</t>
    <phoneticPr fontId="1"/>
  </si>
  <si>
    <t>ExpectedResult</t>
    <phoneticPr fontId="1"/>
  </si>
  <si>
    <t>ActualResult</t>
    <phoneticPr fontId="1"/>
  </si>
  <si>
    <t>Passed</t>
    <phoneticPr fontId="1"/>
  </si>
  <si>
    <t>Failed</t>
    <phoneticPr fontId="1"/>
  </si>
  <si>
    <t>Total</t>
    <phoneticPr fontId="1"/>
  </si>
  <si>
    <t>Progress rate</t>
    <phoneticPr fontId="1"/>
  </si>
  <si>
    <t>Skipped</t>
    <phoneticPr fontId="1"/>
  </si>
  <si>
    <t>ResultsSummary</t>
    <phoneticPr fontId="1"/>
  </si>
  <si>
    <t>Description</t>
    <phoneticPr fontId="1"/>
  </si>
  <si>
    <t>baseurl</t>
    <phoneticPr fontId="1"/>
  </si>
  <si>
    <t>ActionValue</t>
    <phoneticPr fontId="1"/>
  </si>
  <si>
    <t>Command</t>
    <phoneticPr fontId="1"/>
  </si>
  <si>
    <t>FindMethod</t>
    <phoneticPr fontId="1"/>
  </si>
  <si>
    <t>Name</t>
    <phoneticPr fontId="1"/>
  </si>
  <si>
    <t>LinkText</t>
    <phoneticPr fontId="1"/>
  </si>
  <si>
    <t>TakeScreenshot</t>
    <phoneticPr fontId="1"/>
  </si>
  <si>
    <t>Chrome</t>
    <phoneticPr fontId="1"/>
  </si>
  <si>
    <t>SendKeys</t>
    <phoneticPr fontId="1"/>
  </si>
  <si>
    <t>Get</t>
    <phoneticPr fontId="1"/>
  </si>
  <si>
    <t>Action</t>
    <phoneticPr fontId="1"/>
  </si>
  <si>
    <t>IE</t>
    <phoneticPr fontId="1"/>
  </si>
  <si>
    <t>PhantomJS</t>
    <phoneticPr fontId="1"/>
  </si>
  <si>
    <t>Wait</t>
    <phoneticPr fontId="1"/>
  </si>
  <si>
    <t>Click</t>
    <phoneticPr fontId="1"/>
  </si>
  <si>
    <t>Id</t>
    <phoneticPr fontId="1"/>
  </si>
  <si>
    <t>Submit</t>
    <phoneticPr fontId="1"/>
  </si>
  <si>
    <t>GoBack</t>
    <phoneticPr fontId="1"/>
  </si>
  <si>
    <t>ScreenShot</t>
    <phoneticPr fontId="1"/>
  </si>
  <si>
    <t>TestScript</t>
    <phoneticPr fontId="1"/>
  </si>
  <si>
    <t>Id</t>
  </si>
  <si>
    <t>Results</t>
    <phoneticPr fontId="1"/>
  </si>
  <si>
    <t>Result</t>
    <phoneticPr fontId="1"/>
  </si>
  <si>
    <t>Memo</t>
    <phoneticPr fontId="1"/>
  </si>
  <si>
    <t>Select</t>
  </si>
  <si>
    <t>Select</t>
    <phoneticPr fontId="1"/>
  </si>
  <si>
    <t>Get</t>
  </si>
  <si>
    <t>Radio</t>
    <phoneticPr fontId="1"/>
  </si>
  <si>
    <t>Click</t>
  </si>
  <si>
    <t>Alert</t>
    <phoneticPr fontId="1"/>
  </si>
  <si>
    <t>Url</t>
  </si>
  <si>
    <t>Title</t>
  </si>
  <si>
    <t>Contains</t>
  </si>
  <si>
    <t>Equals</t>
  </si>
  <si>
    <t>Matches</t>
  </si>
  <si>
    <t>Name</t>
    <phoneticPr fontId="1"/>
  </si>
  <si>
    <t>http://automationpractice.com</t>
    <phoneticPr fontId="1"/>
  </si>
  <si>
    <t>Wait</t>
  </si>
  <si>
    <t>Css</t>
  </si>
  <si>
    <t>Css</t>
    <phoneticPr fontId="1"/>
  </si>
  <si>
    <t>Css</t>
    <phoneticPr fontId="1"/>
  </si>
  <si>
    <t>LinkText</t>
  </si>
  <si>
    <t>XPath</t>
    <phoneticPr fontId="1"/>
  </si>
  <si>
    <t>MouseMoveTo</t>
  </si>
  <si>
    <t>MouseMoveTo</t>
    <phoneticPr fontId="1"/>
  </si>
  <si>
    <t>Key</t>
    <phoneticPr fontId="1"/>
  </si>
  <si>
    <t>Status</t>
    <phoneticPr fontId="1"/>
  </si>
  <si>
    <t>Count</t>
    <phoneticPr fontId="1"/>
  </si>
  <si>
    <t>Value</t>
    <phoneticPr fontId="1"/>
  </si>
  <si>
    <t>VerificationCommand</t>
    <phoneticPr fontId="1"/>
  </si>
  <si>
    <t>Verificationmethod</t>
    <phoneticPr fontId="1"/>
  </si>
  <si>
    <t>VerificationTarget</t>
    <phoneticPr fontId="1"/>
  </si>
  <si>
    <t>Settings</t>
    <phoneticPr fontId="1"/>
  </si>
  <si>
    <t>runTarget</t>
    <phoneticPr fontId="1"/>
  </si>
  <si>
    <t>scriptID</t>
    <phoneticPr fontId="1"/>
  </si>
  <si>
    <t>LastUpdate</t>
    <phoneticPr fontId="1"/>
  </si>
  <si>
    <t>Test description here.</t>
    <phoneticPr fontId="1"/>
  </si>
  <si>
    <t>ErrorMessage</t>
    <phoneticPr fontId="1"/>
  </si>
  <si>
    <t>GoBack</t>
  </si>
  <si>
    <t>SendKeys</t>
  </si>
  <si>
    <t>My Store</t>
  </si>
  <si>
    <t>XPath</t>
  </si>
  <si>
    <t>Not Tested</t>
  </si>
  <si>
    <t>Verification</t>
  </si>
  <si>
    <t>Delete cookie</t>
    <phoneticPr fontId="1"/>
  </si>
  <si>
    <t>Yes</t>
  </si>
  <si>
    <t>Yes</t>
    <phoneticPr fontId="1"/>
  </si>
  <si>
    <t>No</t>
    <phoneticPr fontId="1"/>
  </si>
  <si>
    <t>No</t>
  </si>
  <si>
    <t>window Width</t>
    <phoneticPr fontId="1"/>
  </si>
  <si>
    <t>window Height</t>
    <phoneticPr fontId="1"/>
  </si>
  <si>
    <t>Name</t>
  </si>
  <si>
    <t>Radio</t>
  </si>
  <si>
    <t>TakeScreenshot</t>
  </si>
  <si>
    <t>Women - My Store</t>
  </si>
  <si>
    <t>Terms and conditions of use - My Store</t>
  </si>
  <si>
    <t>http://automationpractice.com/index.php</t>
  </si>
  <si>
    <t>sendKeys_id</t>
  </si>
  <si>
    <t>sendKeys_name</t>
  </si>
  <si>
    <t>sendKeys_xpath</t>
  </si>
  <si>
    <t>Contact us - My Store</t>
  </si>
  <si>
    <t>#days</t>
  </si>
  <si>
    <t>http://automationpractice.com/index.php?controller=authentication&amp;back=my-account#account-creation</t>
  </si>
  <si>
    <t>Contact us</t>
  </si>
  <si>
    <t>Sitemap - My Store</t>
  </si>
  <si>
    <t>All manufacturersFashion Manufacturer</t>
  </si>
  <si>
    <t>Passed</t>
  </si>
  <si>
    <t>Failed</t>
  </si>
  <si>
    <t>ResultsSummary</t>
  </si>
  <si>
    <t>SheetName</t>
  </si>
  <si>
    <t>Skipped</t>
  </si>
  <si>
    <t>Total</t>
  </si>
  <si>
    <t>Lastupdate</t>
  </si>
  <si>
    <t>IE</t>
  </si>
  <si>
    <t>http://example.com/</t>
    <phoneticPr fontId="1"/>
  </si>
  <si>
    <t>c:\temp\SpreadSheetnium</t>
    <phoneticPr fontId="1"/>
  </si>
  <si>
    <t>Test description here.</t>
    <phoneticPr fontId="1"/>
  </si>
  <si>
    <t>Spreadsheetnium test title here</t>
    <phoneticPr fontId="1"/>
  </si>
  <si>
    <t>run target</t>
    <phoneticPr fontId="1"/>
  </si>
  <si>
    <t>2. Change [Run target] column to "No" if you won't to test.</t>
    <phoneticPr fontId="1"/>
  </si>
  <si>
    <t>1. Press [Init Test Traget]button to collect target sheet name.</t>
    <phoneticPr fontId="1"/>
  </si>
  <si>
    <t>2. Press [Batch Run] button.</t>
    <phoneticPr fontId="1"/>
  </si>
  <si>
    <t>Please use operation check of Spreadsheetnium. And you can delete this sheet.</t>
    <phoneticPr fontId="1"/>
  </si>
  <si>
    <t>First, you should check values of  [Settings] table. And please press [Run Test Script] botton to use.</t>
    <phoneticPr fontId="1"/>
  </si>
  <si>
    <t>Please see also SeleniumBasic help page (https://florentbr.github.io/SeleniumBasic/)</t>
    <phoneticPr fontId="1"/>
  </si>
  <si>
    <t>Metadata</t>
    <phoneticPr fontId="1"/>
  </si>
  <si>
    <t>Firefox</t>
    <phoneticPr fontId="1"/>
  </si>
  <si>
    <t>Edge</t>
    <phoneticPr fontId="1"/>
  </si>
  <si>
    <t>Opera</t>
    <phoneticPr fontId="1"/>
  </si>
  <si>
    <t>Report test results to other system</t>
    <phoneticPr fontId="1"/>
  </si>
  <si>
    <t>Open page(antion target need)</t>
  </si>
  <si>
    <t>Script1</t>
  </si>
  <si>
    <t>/index.php</t>
  </si>
  <si>
    <t>Click element (do not need Action Value)</t>
  </si>
  <si>
    <t>Script2</t>
  </si>
  <si>
    <t>ul.tree.dynamized &gt; li.last &gt; a</t>
  </si>
  <si>
    <t>Script3</t>
  </si>
  <si>
    <t>contact-link</t>
  </si>
  <si>
    <t>Script4</t>
  </si>
  <si>
    <t>Terms and conditions of use</t>
  </si>
  <si>
    <t>Script5</t>
  </si>
  <si>
    <t>submitNewsletter</t>
  </si>
  <si>
    <t>Script6</t>
  </si>
  <si>
    <t>//ul[@id='home-page-tabs']//a[.='Best Sellers']</t>
  </si>
  <si>
    <t>Back to prev page (do not need any params)</t>
  </si>
  <si>
    <t>Script7</t>
  </si>
  <si>
    <t>Script8</t>
  </si>
  <si>
    <t>Point element(do not need Action Value)</t>
  </si>
  <si>
    <t>Script9</t>
  </si>
  <si>
    <t>ul.sf-menu.clearfix.menu-content.sf-js-enabled.sf-arrows &gt; li:nth-of-type(1) &gt; a.sf-with-ul</t>
  </si>
  <si>
    <t>Script10</t>
  </si>
  <si>
    <t>header_logo</t>
  </si>
  <si>
    <t>Script11</t>
  </si>
  <si>
    <t>email</t>
  </si>
  <si>
    <t>Script12</t>
  </si>
  <si>
    <t>Type from keyboard</t>
  </si>
  <si>
    <t>Script13</t>
  </si>
  <si>
    <t>#search_query_top</t>
  </si>
  <si>
    <t>sendKeys_css</t>
  </si>
  <si>
    <t>Script14</t>
  </si>
  <si>
    <t>search_query_top</t>
  </si>
  <si>
    <t>Script15</t>
  </si>
  <si>
    <t>search_query</t>
  </si>
  <si>
    <t>Script16</t>
  </si>
  <si>
    <t>//input[@id='search_query_top']</t>
  </si>
  <si>
    <t>Script17</t>
  </si>
  <si>
    <t>/index.php?controller=authentication&amp;back=my-account</t>
  </si>
  <si>
    <t>Login - My Store</t>
  </si>
  <si>
    <t>Script18</t>
  </si>
  <si>
    <t>#email_create</t>
  </si>
  <si>
    <t>spreadsheetnium@example.com</t>
  </si>
  <si>
    <t>Script19</t>
  </si>
  <si>
    <t>#SubmitCreate &gt; span</t>
  </si>
  <si>
    <t>Click radio(do not need Action Value)</t>
  </si>
  <si>
    <t>Script20</t>
  </si>
  <si>
    <t>div.clearfix &gt; div:nth-of-type(2) &gt; label.top &gt; div.radio &gt; span &gt; input</t>
  </si>
  <si>
    <t>Script21</t>
  </si>
  <si>
    <t>id_gender1</t>
  </si>
  <si>
    <t>Script22</t>
  </si>
  <si>
    <t>id_gender</t>
  </si>
  <si>
    <t>Script23</t>
  </si>
  <si>
    <t>//*[@id="id_gender1"]</t>
  </si>
  <si>
    <t>choice select box</t>
  </si>
  <si>
    <t>Script24</t>
  </si>
  <si>
    <t xml:space="preserve">10  </t>
  </si>
  <si>
    <t>Script25</t>
  </si>
  <si>
    <t>months</t>
  </si>
  <si>
    <t xml:space="preserve">July </t>
  </si>
  <si>
    <t>Script26</t>
  </si>
  <si>
    <t>years</t>
  </si>
  <si>
    <t xml:space="preserve">1974  </t>
  </si>
  <si>
    <t>Script27</t>
  </si>
  <si>
    <t>//*[@id="days"]</t>
  </si>
  <si>
    <t xml:space="preserve">1  </t>
  </si>
  <si>
    <t>Script28</t>
  </si>
  <si>
    <t>Take screenshot(do not need Findmethod)</t>
  </si>
  <si>
    <t>Script29</t>
  </si>
  <si>
    <t>c:\temp\screenshot</t>
  </si>
  <si>
    <t>Script29.jpg</t>
  </si>
  <si>
    <t>Script30</t>
  </si>
  <si>
    <t>Script30.png</t>
  </si>
  <si>
    <t>Script31</t>
  </si>
  <si>
    <t>Script31.bmp</t>
  </si>
  <si>
    <t>Script32</t>
  </si>
  <si>
    <t>Script32.gif</t>
  </si>
  <si>
    <t>Script33</t>
  </si>
  <si>
    <t>/index.php?controller=sitemap</t>
  </si>
  <si>
    <t>Verify expected keyword is contained in Actual</t>
  </si>
  <si>
    <t>Script34</t>
  </si>
  <si>
    <t>span.shop-phone &gt; strong</t>
  </si>
  <si>
    <t>456-789</t>
  </si>
  <si>
    <t>Script35</t>
  </si>
  <si>
    <t>Contact</t>
  </si>
  <si>
    <t>Script36</t>
  </si>
  <si>
    <t>manufacturer_list</t>
  </si>
  <si>
    <t>All manufacturers</t>
  </si>
  <si>
    <t>Script37</t>
  </si>
  <si>
    <t>//*[@id="listpage_content"]/div[2]/div</t>
  </si>
  <si>
    <t>Home</t>
  </si>
  <si>
    <t>Verify expected keyword is equals to Actual</t>
  </si>
  <si>
    <t>Script38</t>
  </si>
  <si>
    <t>0123-456-789</t>
  </si>
  <si>
    <t>Script39</t>
  </si>
  <si>
    <t>Script40</t>
  </si>
  <si>
    <t>Script41</t>
  </si>
  <si>
    <t>PAGES
Home
Delivery
Legal Notice
Terms and conditions of use
About us
Secure payment
Contact</t>
  </si>
  <si>
    <t>Verify expected and actual by Regular expression</t>
  </si>
  <si>
    <t>Script42</t>
  </si>
  <si>
    <t>0123-456-[0-9]{3}</t>
  </si>
  <si>
    <t>Script43</t>
  </si>
  <si>
    <t>Contact.*</t>
  </si>
  <si>
    <t>Script44</t>
  </si>
  <si>
    <t>All manufacturers.*</t>
  </si>
  <si>
    <t>Script45</t>
  </si>
  <si>
    <t>.*Home.*</t>
  </si>
  <si>
    <t>Check latest release of Spreadsheetnium</t>
  </si>
  <si>
    <t>You can check for update with press [Run Test Script] button.</t>
  </si>
  <si>
    <t>Prease download latest files from github if you failed this script.</t>
  </si>
  <si>
    <t>https://ssugiya.github.io/Spreadsheetnium/</t>
    <phoneticPr fontId="1"/>
  </si>
  <si>
    <t>https://github.com</t>
  </si>
  <si>
    <t>check latest release</t>
  </si>
  <si>
    <t>checkLatest1</t>
  </si>
  <si>
    <t>/ssugiya/Spreadsheetnium/releases/latest</t>
  </si>
  <si>
    <t>h1.release-title &gt; a</t>
  </si>
  <si>
    <t>checkLatest2</t>
  </si>
  <si>
    <t>#email</t>
  </si>
  <si>
    <t>#password</t>
  </si>
  <si>
    <t>#signin_btn</t>
  </si>
  <si>
    <t>#msg_input</t>
  </si>
  <si>
    <t>#username</t>
  </si>
  <si>
    <t>[name="login"]</t>
  </si>
  <si>
    <t>#issue_subject</t>
  </si>
  <si>
    <t>#issue_description</t>
  </si>
  <si>
    <t>[name="commit"]</t>
  </si>
  <si>
    <t>ReportResults</t>
    <phoneticPr fontId="1"/>
  </si>
  <si>
    <t>Spreadsheetnium Batch processing sheet</t>
    <phoneticPr fontId="1"/>
  </si>
  <si>
    <t>Plz download latest source</t>
    <phoneticPr fontId="1"/>
  </si>
  <si>
    <t>slack</t>
  </si>
  <si>
    <t>/qbIWDI</t>
  </si>
  <si>
    <t>https://spreadsheetnium.slack.com/</t>
  </si>
  <si>
    <t>mail@example.com</t>
  </si>
  <si>
    <t>Slack</t>
  </si>
  <si>
    <t>password</t>
  </si>
  <si>
    <t>Redmine</t>
  </si>
  <si>
    <t>/shortURL</t>
  </si>
  <si>
    <t>/redmine/login</t>
  </si>
  <si>
    <t>/redmine/projects/sandbox/issues/new</t>
  </si>
  <si>
    <t>Spreadsheetnium test results</t>
  </si>
  <si>
    <t>https://goo.gl</t>
  </si>
  <si>
    <t>general | Spreadsheetnium Slack</t>
  </si>
  <si>
    <t>general | Spreadsheetnium Slack</t>
    <phoneticPr fontId="1"/>
  </si>
  <si>
    <t>PhantomJS</t>
  </si>
  <si>
    <t>Chrome</t>
  </si>
  <si>
    <t>AutoRun</t>
    <phoneticPr fontId="1"/>
  </si>
  <si>
    <t>Spreadsheetnium command reference</t>
    <phoneticPr fontId="1"/>
  </si>
  <si>
    <t>Outlook web access</t>
    <phoneticPr fontId="1"/>
  </si>
  <si>
    <t>Get</t>
    <phoneticPr fontId="1"/>
  </si>
  <si>
    <t>/8Vwq9J</t>
    <phoneticPr fontId="1"/>
  </si>
  <si>
    <t>Css</t>
    <phoneticPr fontId="1"/>
  </si>
  <si>
    <t>tbody &gt; tr:first-child &gt; td:nth-of-type(2) &gt; input</t>
  </si>
  <si>
    <t>#cred_userid_inputtext</t>
  </si>
  <si>
    <t>#cred_password_inputtext</t>
  </si>
  <si>
    <t>tbody &gt; tr:nth-of-type(2) &gt; td:nth-of-type(2) &gt; input</t>
  </si>
  <si>
    <t>input.Resizable</t>
  </si>
  <si>
    <t>div.ms-bg-color-white.customScrollBar.ms-border-color-themeTertiary &gt; div:nth-of-type(2) &gt; div:nth-of-type(2) &gt; div:nth-of-type(1) &gt; div &gt; div.\_rw_u.\_rw_w &gt; div.\_rw_u.allowTextSelection &gt; span.findControlWrapper &gt; div.\_fp_B &gt; form &gt; input.\_fp_C.ms-fwt-r.ms-font-color-neutralSecondary.allowTextSelection.ms-bgc-nl.textbox.ms-font-s.ms-fwt-sl.ms-fcl-np.ms-bcl-nta.ms-bcl-nsa-h</t>
  </si>
  <si>
    <t>input.ms-font-weight-regular.ms-font-color-neutralPrimary.allowTextSelection.textbox.ms-font-s.ms-fwt-sl.ms-fcl-np.ms-bcl-nta.ms-bcl-nsa-h</t>
  </si>
  <si>
    <t>Spreadsheetnium test results</t>
    <phoneticPr fontId="1"/>
  </si>
  <si>
    <t>textarea.customScrollBar.ms-bg-color-white.ms-font-color-black.owa-font-compose</t>
  </si>
  <si>
    <t>span.image.owaimg.ms-Icon--plus.ms-fcl-tp-b.ms-bcl-tp-b.ms-bg-transparent.ms-icon-font-circle.\_fce_t</t>
  </si>
  <si>
    <t>button.\_fce_h.\_fce_f.ms-fwt-r.ms-fcl-np</t>
  </si>
  <si>
    <t>div.\_fce_b &gt; div:first-child &gt; div.\_fce_e &gt; button.\_fce_i.ms-fwt-r.ms-fcl-np &gt; span.label.\_fce_r.\_fce_n</t>
  </si>
  <si>
    <t>baseurl</t>
    <phoneticPr fontId="1"/>
  </si>
  <si>
    <t>sample_commandReference</t>
  </si>
  <si>
    <t>template</t>
  </si>
  <si>
    <t>c:\temp\SpreadSheetnium\sample</t>
    <phoneticPr fontId="1"/>
  </si>
  <si>
    <t>Ready to run</t>
  </si>
  <si>
    <t>v0.0.7</t>
    <phoneticPr fontId="1"/>
  </si>
  <si>
    <t>Click</t>
    <phoneticPr fontId="1"/>
  </si>
  <si>
    <t>section#social_block li.twitter &gt; a</t>
  </si>
  <si>
    <t xml:space="preserve">/**************************/_x000D_
Spreadsheetnium TEST RESULT_x000D_
/**************************/_x000D_
Test title : Spreadsheetnium command reference_x000D_
sheet name : sample_commandReference_x000D_
_x000D_
Browser : IE_x000D_
baseurl : http://automationpractice.com_x000D_
window Width : 1366_x000D_
window Height : 768_x000D_
ScreenShot : c:\temp\SpreadSheetnium\sample_x000D_
_x000D_
/**************************/_x000D_
Not tested : 40_x000D_
Passed : 4_x000D_
Failed: 1_x000D_
Skipped : 1_x000D_
Total : 46_x000D_
Progress rate : 13%_x000D_
/**************************/_x000D_
_x000D_
2017/01/09 0:11:29_x000D_
Procedure: runScript_x000D_
Err number: 23_x000D_
NoSuchWindowError
Window not found: Unable to get browser_x000D_
_x000D_
_x000D_
_x000D_
https://ssugiya.github.io/Spreadsheetnium/_x000D_
</t>
    <phoneticPr fontId="1"/>
  </si>
  <si>
    <t>SwitchToWindow</t>
  </si>
  <si>
    <t>SwitchToWindow</t>
    <phoneticPr fontId="1"/>
  </si>
  <si>
    <r>
      <t>Selenium Framework(@seleniumfrmwrk)</t>
    </r>
    <r>
      <rPr>
        <sz val="11"/>
        <rFont val="ＭＳ Ｐゴシック"/>
        <family val="3"/>
        <charset val="128"/>
      </rPr>
      <t>さん</t>
    </r>
    <r>
      <rPr>
        <sz val="11"/>
        <rFont val="Calibri"/>
        <family val="2"/>
      </rPr>
      <t xml:space="preserve"> | Twitter</t>
    </r>
    <phoneticPr fontId="1"/>
  </si>
  <si>
    <t>div#page-container li.ProfileNav-item.ProfileNav-item--following &gt; a &gt; span.ProfileNav-value</t>
  </si>
  <si>
    <t>Selenium Framework(@seleniumfrmwrk)さん | Twitter</t>
  </si>
  <si>
    <t>Css</t>
    <phoneticPr fontId="1"/>
  </si>
  <si>
    <t>switch other window by title</t>
    <phoneticPr fontId="1"/>
  </si>
  <si>
    <t>click element in other window</t>
    <phoneticPr fontId="1"/>
  </si>
  <si>
    <t>return to original window by title</t>
    <phoneticPr fontId="1"/>
  </si>
  <si>
    <t>Open other window</t>
    <phoneticPr fontId="1"/>
  </si>
  <si>
    <t>Script46</t>
  </si>
  <si>
    <t>Script47</t>
  </si>
  <si>
    <t>Script48</t>
  </si>
  <si>
    <t>Script49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</si>
</sst>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26" formatCode="\$#,##0.00_);[Red]\(\$#,##0.00\)"/>
    <numFmt numFmtId="176" formatCode="&quot;¥&quot;#,##0.00_);[Red]\(&quot;¥&quot;#,##0.00\)"/>
    <numFmt numFmtId="177" formatCode="yyyy/mm/dd\ hh:mm:ss"/>
  </numFmts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Calibri"/>
      <family val="2"/>
    </font>
    <font>
      <u/>
      <sz val="11"/>
      <name val="Calibri"/>
      <family val="2"/>
    </font>
    <font>
      <b/>
      <sz val="11"/>
      <name val="Calibri"/>
      <family val="2"/>
    </font>
    <font>
      <b/>
      <sz val="16"/>
      <name val="Calibri"/>
      <family val="2"/>
    </font>
    <font>
      <b/>
      <sz val="24"/>
      <name val="Calibri"/>
      <family val="2"/>
    </font>
    <font>
      <b/>
      <sz val="12"/>
      <name val="Calibri"/>
      <family val="2"/>
    </font>
    <font>
      <b/>
      <sz val="12"/>
      <color theme="1"/>
      <name val="Calibri"/>
      <family val="2"/>
    </font>
    <font>
      <u/>
      <sz val="11"/>
      <color theme="10"/>
      <name val="Calibri"/>
      <family val="2"/>
    </font>
    <font>
      <sz val="9"/>
      <color rgb="FFFF0000"/>
      <name val="Calibri"/>
      <family val="2"/>
    </font>
    <font>
      <sz val="11"/>
      <name val="ＭＳ Ｐ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177" fontId="3" fillId="0" borderId="0" xfId="0" applyNumberFormat="1" applyFont="1" applyFill="1" applyBorder="1">
      <alignment vertical="center"/>
    </xf>
    <xf numFmtId="177" fontId="3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shrinkToFit="1"/>
    </xf>
    <xf numFmtId="0" fontId="3" fillId="0" borderId="0" xfId="0" applyFont="1" applyFill="1" applyBorder="1" applyAlignment="1">
      <alignment vertical="center" shrinkToFit="1"/>
    </xf>
    <xf numFmtId="9" fontId="3" fillId="0" borderId="0" xfId="0" applyNumberFormat="1" applyFont="1" applyFill="1" applyBorder="1" applyAlignment="1">
      <alignment vertical="center" shrinkToFit="1"/>
    </xf>
    <xf numFmtId="26" fontId="3" fillId="0" borderId="0" xfId="0" applyNumberFormat="1" applyFont="1" applyFill="1" applyBorder="1" applyAlignment="1">
      <alignment vertical="center" wrapText="1"/>
    </xf>
    <xf numFmtId="0" fontId="5" fillId="0" borderId="0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>
      <alignment vertical="center"/>
    </xf>
    <xf numFmtId="0" fontId="8" fillId="0" borderId="0" xfId="0" applyFont="1" applyFill="1" applyBorder="1" applyAlignment="1">
      <alignment vertical="center" shrinkToFit="1"/>
    </xf>
    <xf numFmtId="0" fontId="8" fillId="0" borderId="0" xfId="0" applyFont="1" applyFill="1" applyBorder="1">
      <alignment vertical="center"/>
    </xf>
    <xf numFmtId="177" fontId="8" fillId="0" borderId="0" xfId="0" applyNumberFormat="1" applyFont="1" applyFill="1" applyBorder="1" applyAlignment="1">
      <alignment vertical="center" shrinkToFit="1"/>
    </xf>
    <xf numFmtId="0" fontId="4" fillId="0" borderId="0" xfId="1" applyFont="1" applyFill="1" applyBorder="1" applyAlignment="1">
      <alignment vertical="center" shrinkToFit="1"/>
    </xf>
    <xf numFmtId="176" fontId="3" fillId="0" borderId="0" xfId="0" applyNumberFormat="1" applyFont="1" applyFill="1" applyBorder="1" applyAlignment="1">
      <alignment vertical="center" wrapText="1"/>
    </xf>
    <xf numFmtId="0" fontId="3" fillId="5" borderId="0" xfId="0" applyFont="1" applyFill="1" applyBorder="1" applyAlignment="1">
      <alignment vertical="center" shrinkToFit="1"/>
    </xf>
    <xf numFmtId="0" fontId="3" fillId="6" borderId="0" xfId="0" applyFont="1" applyFill="1" applyBorder="1" applyAlignment="1">
      <alignment vertical="center" shrinkToFit="1"/>
    </xf>
    <xf numFmtId="0" fontId="3" fillId="7" borderId="0" xfId="0" applyFont="1" applyFill="1" applyBorder="1" applyAlignment="1">
      <alignment vertical="center" shrinkToFit="1"/>
    </xf>
    <xf numFmtId="0" fontId="3" fillId="8" borderId="0" xfId="0" applyFont="1" applyFill="1" applyBorder="1" applyAlignment="1">
      <alignment vertical="center" shrinkToFit="1"/>
    </xf>
    <xf numFmtId="0" fontId="3" fillId="0" borderId="0" xfId="0" applyFont="1" applyFill="1" applyAlignment="1">
      <alignment vertical="center" wrapText="1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quotePrefix="1" applyNumberFormat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vertical="center" wrapText="1"/>
    </xf>
    <xf numFmtId="0" fontId="9" fillId="2" borderId="0" xfId="0" applyFont="1" applyFill="1" applyBorder="1" applyAlignment="1">
      <alignment vertical="center"/>
    </xf>
    <xf numFmtId="0" fontId="3" fillId="0" borderId="0" xfId="0" applyFont="1">
      <alignment vertical="center"/>
    </xf>
    <xf numFmtId="0" fontId="3" fillId="0" borderId="0" xfId="0" applyFont="1" applyFill="1">
      <alignment vertical="center"/>
    </xf>
    <xf numFmtId="0" fontId="8" fillId="3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8" fillId="4" borderId="0" xfId="0" applyFont="1" applyFill="1" applyBorder="1" applyAlignment="1">
      <alignment vertical="center"/>
    </xf>
    <xf numFmtId="0" fontId="7" fillId="9" borderId="0" xfId="0" applyFont="1" applyFill="1" applyBorder="1">
      <alignment vertical="center"/>
    </xf>
    <xf numFmtId="0" fontId="3" fillId="9" borderId="0" xfId="0" applyFont="1" applyFill="1" applyBorder="1">
      <alignment vertical="center"/>
    </xf>
    <xf numFmtId="177" fontId="3" fillId="9" borderId="0" xfId="0" applyNumberFormat="1" applyFont="1" applyFill="1" applyBorder="1" applyAlignment="1">
      <alignment vertical="center" wrapText="1"/>
    </xf>
    <xf numFmtId="0" fontId="3" fillId="9" borderId="0" xfId="0" applyFont="1" applyFill="1" applyBorder="1" applyAlignment="1">
      <alignment horizontal="left" vertical="center" indent="1"/>
    </xf>
    <xf numFmtId="177" fontId="3" fillId="9" borderId="0" xfId="0" applyNumberFormat="1" applyFont="1" applyFill="1" applyBorder="1">
      <alignment vertical="center"/>
    </xf>
    <xf numFmtId="0" fontId="7" fillId="10" borderId="0" xfId="0" applyFont="1" applyFill="1" applyBorder="1">
      <alignment vertical="center"/>
    </xf>
    <xf numFmtId="0" fontId="3" fillId="10" borderId="0" xfId="0" applyFont="1" applyFill="1" applyBorder="1">
      <alignment vertical="center"/>
    </xf>
    <xf numFmtId="177" fontId="3" fillId="10" borderId="0" xfId="0" applyNumberFormat="1" applyFont="1" applyFill="1" applyBorder="1" applyAlignment="1">
      <alignment vertical="center" wrapText="1"/>
    </xf>
    <xf numFmtId="0" fontId="3" fillId="10" borderId="0" xfId="0" applyFont="1" applyFill="1" applyBorder="1" applyAlignment="1">
      <alignment horizontal="left" vertical="center" indent="1"/>
    </xf>
    <xf numFmtId="177" fontId="3" fillId="10" borderId="0" xfId="0" applyNumberFormat="1" applyFont="1" applyFill="1" applyBorder="1">
      <alignment vertical="center"/>
    </xf>
    <xf numFmtId="0" fontId="8" fillId="11" borderId="0" xfId="0" applyFont="1" applyFill="1" applyBorder="1" applyAlignment="1">
      <alignment vertical="center" shrinkToFit="1"/>
    </xf>
    <xf numFmtId="0" fontId="8" fillId="11" borderId="0" xfId="0" applyFont="1" applyFill="1" applyBorder="1" applyAlignment="1">
      <alignment vertical="center"/>
    </xf>
    <xf numFmtId="22" fontId="3" fillId="0" borderId="0" xfId="0" applyNumberFormat="1" applyFont="1" applyFill="1" applyBorder="1" applyAlignment="1">
      <alignment vertical="center" wrapText="1"/>
    </xf>
    <xf numFmtId="0" fontId="7" fillId="12" borderId="0" xfId="0" applyFont="1" applyFill="1" applyBorder="1">
      <alignment vertical="center"/>
    </xf>
    <xf numFmtId="0" fontId="3" fillId="12" borderId="0" xfId="0" applyFont="1" applyFill="1" applyBorder="1">
      <alignment vertical="center"/>
    </xf>
    <xf numFmtId="177" fontId="3" fillId="12" borderId="0" xfId="0" applyNumberFormat="1" applyFont="1" applyFill="1" applyBorder="1" applyAlignment="1">
      <alignment vertical="center" wrapText="1"/>
    </xf>
    <xf numFmtId="0" fontId="3" fillId="12" borderId="0" xfId="0" applyFont="1" applyFill="1" applyBorder="1" applyAlignment="1">
      <alignment horizontal="left" vertical="center" indent="1"/>
    </xf>
    <xf numFmtId="177" fontId="3" fillId="12" borderId="0" xfId="0" applyNumberFormat="1" applyFont="1" applyFill="1" applyBorder="1">
      <alignment vertical="center"/>
    </xf>
    <xf numFmtId="0" fontId="10" fillId="12" borderId="0" xfId="1" applyFont="1" applyFill="1" applyBorder="1" applyAlignment="1">
      <alignment horizontal="left" vertical="center" indent="1"/>
    </xf>
    <xf numFmtId="0" fontId="2" fillId="0" borderId="0" xfId="1" applyFill="1" applyBorder="1" applyAlignment="1">
      <alignment vertical="center" wrapText="1"/>
    </xf>
    <xf numFmtId="0" fontId="11" fillId="0" borderId="0" xfId="0" applyFont="1" applyFill="1" applyBorder="1" applyAlignment="1">
      <alignment vertical="top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1" fillId="0" borderId="0" xfId="0" applyFont="1" applyFill="1" applyBorder="1" applyAlignment="1">
      <alignment vertical="top" wrapText="1"/>
    </xf>
  </cellXfs>
  <cellStyles count="2">
    <cellStyle name="ハイパーリンク" xfId="1" builtinId="8"/>
    <cellStyle name="標準" xfId="0" builtinId="0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color theme="1" tint="0.499984740745262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TableStyle="TableStyleMedium2" defaultPivotStyle="PivotStyleLight16">
    <tableStyle name="テーブル スタイル 1" pivot="0" count="1">
      <tableStyleElement type="wholeTable" dxfId="128"/>
    </tableStyle>
    <tableStyle name="テーブル スタイル 2" pivot="0" count="1">
      <tableStyleElement type="wholeTable" dxfId="127"/>
    </tableStyle>
  </tableStyles>
  <colors>
    <mruColors>
      <color rgb="FFA88A1C"/>
      <color rgb="FFDFBC42"/>
      <color rgb="FFA45428"/>
      <color rgb="FFC96731"/>
      <color rgb="FFD98E64"/>
      <color rgb="FFEAE8E8"/>
      <color rgb="FF6FC1D2"/>
      <color rgb="FF448E9E"/>
      <color rgb="FF7DC692"/>
      <color rgb="FF508B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DB9A-40F1-AD0C-B634A0683923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DB9A-40F1-AD0C-B634A0683923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DB9A-40F1-AD0C-B634A0683923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DB9A-40F1-AD0C-B634A0683923}"/>
              </c:ext>
            </c:extLst>
          </c:dPt>
          <c:cat>
            <c:strRef>
              <c:f>sample_commandReference!$D$9:$D$12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sample_commandReference!$E$9:$E$12</c:f>
              <c:numCache>
                <c:formatCode>General</c:formatCode>
                <c:ptCount val="4"/>
                <c:pt idx="0">
                  <c:v>49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9A-40F1-AD0C-B634A0683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9C4B-49D6-B637-14A5CE9992A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9C4B-49D6-B637-14A5CE9992A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9C4B-49D6-B637-14A5CE9992AD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9C4B-49D6-B637-14A5CE9992AD}"/>
              </c:ext>
            </c:extLst>
          </c:dPt>
          <c:cat>
            <c:strRef>
              <c:f>template!$D$9:$D$12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template!$E$9:$E$12</c:f>
              <c:numCache>
                <c:formatCode>General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4B-49D6-B637-14A5CE999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3532-4C33-972A-A765FED957EA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3532-4C33-972A-A765FED957EA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3532-4C33-972A-A765FED957EA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3532-4C33-972A-A765FED957EA}"/>
              </c:ext>
            </c:extLst>
          </c:dPt>
          <c:cat>
            <c:strRef>
              <c:f>BATCH!$D$9:$D$12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BATCH!$E$9:$E$12</c:f>
              <c:numCache>
                <c:formatCode>General</c:formatCode>
                <c:ptCount val="4"/>
                <c:pt idx="0">
                  <c:v>59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32-4C33-972A-A765FED95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6D06-47B5-985F-E14C471E3E5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6D06-47B5-985F-E14C471E3E5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6D06-47B5-985F-E14C471E3E55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6D06-47B5-985F-E14C471E3E55}"/>
              </c:ext>
            </c:extLst>
          </c:dPt>
          <c:cat>
            <c:strRef>
              <c:f>REPORT_RESULTS!$D$9:$D$12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REPORT_RESULTS!$E$9:$E$12</c:f>
              <c:numCache>
                <c:formatCode>General</c:formatCode>
                <c:ptCount val="4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D06-47B5-985F-E14C471E3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9CFB-4627-B180-6CDE0FA0F9CE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9CFB-4627-B180-6CDE0FA0F9CE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9CFB-4627-B180-6CDE0FA0F9CE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9CFB-4627-B180-6CDE0FA0F9CE}"/>
              </c:ext>
            </c:extLst>
          </c:dPt>
          <c:cat>
            <c:strRef>
              <c:f>UPDATES!$D$9:$D$12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UPDATES!$E$9:$E$12</c:f>
              <c:numCache>
                <c:formatCode>General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FB-4627-B180-6CDE0FA0F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D4C0DF6-1B0F-4CB8-A17E-13E9FE3B0D91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B3E15F03-9E49-4E0F-8071-16A72540C6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57E846F5-7537-494F-B2BF-319306D9E6E9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356785" y="1820765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356785" y="2387783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903C5575-641F-4403-BC5B-045CE8169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F1E4A842-AA65-4023-813E-45B70DA7AD5B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  <xdr:twoCellAnchor editAs="absolute">
    <xdr:from>
      <xdr:col>6</xdr:col>
      <xdr:colOff>1047750</xdr:colOff>
      <xdr:row>7</xdr:row>
      <xdr:rowOff>133350</xdr:rowOff>
    </xdr:from>
    <xdr:to>
      <xdr:col>9</xdr:col>
      <xdr:colOff>393769</xdr:colOff>
      <xdr:row>10</xdr:row>
      <xdr:rowOff>65850</xdr:rowOff>
    </xdr:to>
    <xdr:sp macro="[0]!batchRunTestScriptConfirm" textlink="">
      <xdr:nvSpPr>
        <xdr:cNvPr id="6" name="四角形: 角を丸くする 1">
          <a:extLst>
            <a:ext uri="{FF2B5EF4-FFF2-40B4-BE49-F238E27FC236}">
              <a16:creationId xmlns:a16="http://schemas.microsoft.com/office/drawing/2014/main" id="{C2118A29-CF40-46E1-8E91-8BCED8160DA0}"/>
            </a:ext>
          </a:extLst>
        </xdr:cNvPr>
        <xdr:cNvSpPr/>
      </xdr:nvSpPr>
      <xdr:spPr>
        <a:xfrm>
          <a:off x="8353425" y="1752600"/>
          <a:ext cx="276549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8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 Run Batch proc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absolute">
    <xdr:from>
      <xdr:col>6</xdr:col>
      <xdr:colOff>1047750</xdr:colOff>
      <xdr:row>10</xdr:row>
      <xdr:rowOff>104775</xdr:rowOff>
    </xdr:from>
    <xdr:to>
      <xdr:col>9</xdr:col>
      <xdr:colOff>412819</xdr:colOff>
      <xdr:row>13</xdr:row>
      <xdr:rowOff>37275</xdr:rowOff>
    </xdr:to>
    <xdr:sp macro="[0]!prepTestTarget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1AD61CBC-6B38-497F-8CA4-CA4B78EC2834}"/>
            </a:ext>
          </a:extLst>
        </xdr:cNvPr>
        <xdr:cNvSpPr/>
      </xdr:nvSpPr>
      <xdr:spPr>
        <a:xfrm>
          <a:off x="8353425" y="2295525"/>
          <a:ext cx="278454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@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Init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Target</a:t>
          </a:r>
          <a:endParaRPr kumimoji="1" lang="ja-JP" altLang="en-US" sz="2000" b="1">
            <a:latin typeface="+mn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9D14D7DA-1FCB-4F51-85C3-46693B3BB124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D965E6E6-68F7-4638-9C55-37A0EE86A6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7F0B2063-85A7-4C2B-A9C0-49E640CF58B5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EB663D9-4194-412C-BF5B-D2901B83B770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D191E06A-47BF-4449-9713-F37239E43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30931192-51BA-4C68-9396-9526EAA72F3B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8" name="TestScriptTable9" displayName="TestScriptTable9" ref="A19:P68" totalsRowShown="0" headerRowDxfId="107" dataDxfId="106" tableBorderDxfId="105">
  <autoFilter ref="A19:P68"/>
  <tableColumns count="16">
    <tableColumn id="1" name="runTarget" dataDxfId="104"/>
    <tableColumn id="2" name="Description" dataDxfId="103"/>
    <tableColumn id="17" name="scriptID" dataDxfId="102"/>
    <tableColumn id="3" name="Command" dataDxfId="101"/>
    <tableColumn id="4" name="FindMethod" dataDxfId="100"/>
    <tableColumn id="5" name="ActionTarget" dataDxfId="99"/>
    <tableColumn id="6" name="ActionValue" dataDxfId="98"/>
    <tableColumn id="7" name="VerificationCommand" dataDxfId="97"/>
    <tableColumn id="8" name="Verificationmethod" dataDxfId="96"/>
    <tableColumn id="9" name="VerificationTarget" dataDxfId="95"/>
    <tableColumn id="10" name="ExpectedResult" dataDxfId="94"/>
    <tableColumn id="11" name="ActualResult" dataDxfId="93"/>
    <tableColumn id="12" name="Result" dataDxfId="92"/>
    <tableColumn id="13" name="LastUpdate" dataDxfId="91"/>
    <tableColumn id="14" name="ErrorMessage" dataDxfId="90"/>
    <tableColumn id="15" name="Memo" dataDxfId="89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9" name="SettingsTable10" displayName="SettingsTable10" ref="A8:B15" totalsRowShown="0" headerRowDxfId="88" dataDxfId="87">
  <autoFilter ref="A8:B15"/>
  <tableColumns count="2">
    <tableColumn id="1" name="Key" dataDxfId="86"/>
    <tableColumn id="2" name="Value" dataDxfId="85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0" name="ResultsSummaryTable11" displayName="ResultsSummaryTable11" ref="D8:E14" totalsRowShown="0" headerRowDxfId="84" dataDxfId="83">
  <autoFilter ref="D8:E14"/>
  <tableColumns count="2">
    <tableColumn id="1" name="Status" dataDxfId="82"/>
    <tableColumn id="2" name="Count" dataDxfId="81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1" name="TestScriptTable" displayName="TestScriptTable" ref="A19:P29" totalsRowShown="0" headerRowDxfId="80" dataDxfId="79" tableBorderDxfId="78">
  <autoFilter ref="A19:P29"/>
  <tableColumns count="16">
    <tableColumn id="1" name="runTarget" dataDxfId="77"/>
    <tableColumn id="2" name="Description" dataDxfId="76"/>
    <tableColumn id="17" name="scriptID" dataDxfId="75"/>
    <tableColumn id="3" name="Command" dataDxfId="74"/>
    <tableColumn id="4" name="FindMethod" dataDxfId="73"/>
    <tableColumn id="5" name="ActionTarget" dataDxfId="72"/>
    <tableColumn id="6" name="ActionValue" dataDxfId="71"/>
    <tableColumn id="7" name="VerificationCommand" dataDxfId="70"/>
    <tableColumn id="8" name="Verificationmethod" dataDxfId="69"/>
    <tableColumn id="9" name="VerificationTarget" dataDxfId="68"/>
    <tableColumn id="10" name="ExpectedResult" dataDxfId="67"/>
    <tableColumn id="11" name="ActualResult" dataDxfId="66"/>
    <tableColumn id="12" name="Result" dataDxfId="65"/>
    <tableColumn id="13" name="LastUpdate" dataDxfId="64"/>
    <tableColumn id="14" name="ErrorMessage" dataDxfId="63"/>
    <tableColumn id="15" name="Memo" dataDxfId="62"/>
  </tableColumns>
  <tableStyleInfo name="TableStyleLight4" showFirstColumn="0" showLastColumn="0" showRowStripes="1" showColumnStripes="0"/>
</table>
</file>

<file path=xl/tables/table5.xml><?xml version="1.0" encoding="utf-8"?>
<table xmlns="http://schemas.openxmlformats.org/spreadsheetml/2006/main" id="4" name="SettingsTable" displayName="SettingsTable" ref="A8:B15" totalsRowShown="0" headerRowDxfId="61" dataDxfId="60">
  <autoFilter ref="A8:B15"/>
  <tableColumns count="2">
    <tableColumn id="1" name="Key" dataDxfId="59"/>
    <tableColumn id="2" name="Value" dataDxfId="58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id="5" name="ResultsSummaryTable" displayName="ResultsSummaryTable" ref="D8:E14" totalsRowShown="0" headerRowDxfId="57" dataDxfId="56">
  <autoFilter ref="D8:E14"/>
  <tableColumns count="2">
    <tableColumn id="1" name="Status" dataDxfId="55"/>
    <tableColumn id="2" name="Count" dataDxfId="54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id="16" name="SettingsTable17" displayName="SettingsTable17" ref="A8:B10" totalsRowShown="0" headerRowDxfId="126" dataDxfId="125">
  <autoFilter ref="A8:B10"/>
  <tableColumns count="2">
    <tableColumn id="1" name="Key" dataDxfId="124"/>
    <tableColumn id="2" name="Value" dataDxfId="123"/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id="17" name="ResultsSummaryTable18" displayName="ResultsSummaryTable18" ref="D8:E14" totalsRowShown="0" headerRowDxfId="122" dataDxfId="121">
  <autoFilter ref="D8:E14"/>
  <tableColumns count="2">
    <tableColumn id="1" name="Status" dataDxfId="120"/>
    <tableColumn id="2" name="Count" dataDxfId="119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id="18" name="batchRunTBL" displayName="batchRunTBL" ref="A19:I21" totalsRowShown="0" headerRowDxfId="118" dataDxfId="117">
  <autoFilter ref="A19:I21"/>
  <tableColumns count="9">
    <tableColumn id="1" name="run target" dataDxfId="116"/>
    <tableColumn id="2" name="SheetName" dataDxfId="115"/>
    <tableColumn id="3" name="Not Tested" dataDxfId="114"/>
    <tableColumn id="4" name="Passed" dataDxfId="113"/>
    <tableColumn id="5" name="Failed" dataDxfId="112"/>
    <tableColumn id="6" name="Skipped" dataDxfId="111"/>
    <tableColumn id="7" name="Total" dataDxfId="110"/>
    <tableColumn id="8" name="Status" dataDxfId="109"/>
    <tableColumn id="9" name="Lastupdate" dataDxfId="108"/>
  </tableColumns>
  <tableStyleInfo name="TableStyleLight4" showFirstColumn="0" showLastColumn="0" showRowStripes="1" showColumnStripes="0"/>
</table>
</file>

<file path=xl/tables/table10.xml><?xml version="1.0" encoding="utf-8"?>
<table xmlns="http://schemas.openxmlformats.org/spreadsheetml/2006/main" id="2" name="TestScriptTable3" displayName="TestScriptTable3" ref="A19:P49" totalsRowShown="0" headerRowDxfId="53" dataDxfId="52" tableBorderDxfId="51">
  <autoFilter ref="A19:P49"/>
  <tableColumns count="16">
    <tableColumn id="1" name="runTarget" dataDxfId="50"/>
    <tableColumn id="2" name="Description" dataDxfId="49"/>
    <tableColumn id="17" name="scriptID" dataDxfId="48"/>
    <tableColumn id="3" name="Command" dataDxfId="47"/>
    <tableColumn id="4" name="FindMethod" dataDxfId="46"/>
    <tableColumn id="5" name="ActionTarget" dataDxfId="45"/>
    <tableColumn id="6" name="ActionValue" dataDxfId="44"/>
    <tableColumn id="7" name="VerificationCommand" dataDxfId="43"/>
    <tableColumn id="8" name="Verificationmethod" dataDxfId="42"/>
    <tableColumn id="9" name="VerificationTarget" dataDxfId="41"/>
    <tableColumn id="10" name="ExpectedResult" dataDxfId="40"/>
    <tableColumn id="11" name="ActualResult" dataDxfId="39"/>
    <tableColumn id="12" name="Result" dataDxfId="38"/>
    <tableColumn id="13" name="LastUpdate" dataDxfId="37"/>
    <tableColumn id="14" name="ErrorMessage" dataDxfId="36"/>
    <tableColumn id="15" name="Memo" dataDxfId="35"/>
  </tableColumns>
  <tableStyleInfo name="TableStyleLight4" showFirstColumn="0" showLastColumn="0" showRowStripes="1" showColumnStripes="0"/>
</table>
</file>

<file path=xl/tables/table11.xml><?xml version="1.0" encoding="utf-8"?>
<table xmlns="http://schemas.openxmlformats.org/spreadsheetml/2006/main" id="3" name="SettingsTable4" displayName="SettingsTable4" ref="A8:B15" totalsRowShown="0" headerRowDxfId="34" dataDxfId="33">
  <autoFilter ref="A8:B15"/>
  <tableColumns count="2">
    <tableColumn id="1" name="Key" dataDxfId="32"/>
    <tableColumn id="2" name="Value" dataDxfId="31"/>
  </tableColumns>
  <tableStyleInfo name="TableStyleLight4" showFirstColumn="0" showLastColumn="0" showRowStripes="1" showColumnStripes="0"/>
</table>
</file>

<file path=xl/tables/table12.xml><?xml version="1.0" encoding="utf-8"?>
<table xmlns="http://schemas.openxmlformats.org/spreadsheetml/2006/main" id="6" name="ResultsSummaryTable7" displayName="ResultsSummaryTable7" ref="D8:E14" totalsRowShown="0" headerRowDxfId="30" dataDxfId="29">
  <autoFilter ref="D8:E14"/>
  <tableColumns count="2">
    <tableColumn id="1" name="Status" dataDxfId="28"/>
    <tableColumn id="2" name="Count" dataDxfId="27"/>
  </tableColumns>
  <tableStyleInfo name="TableStyleLight4" showFirstColumn="0" showLastColumn="0" showRowStripes="1" showColumnStripes="0"/>
</table>
</file>

<file path=xl/tables/table13.xml><?xml version="1.0" encoding="utf-8"?>
<table xmlns="http://schemas.openxmlformats.org/spreadsheetml/2006/main" id="11" name="TestScriptTable12" displayName="TestScriptTable12" ref="A19:P21" totalsRowShown="0" headerRowDxfId="26" dataDxfId="25" tableBorderDxfId="24">
  <autoFilter ref="A19:P21"/>
  <tableColumns count="16">
    <tableColumn id="1" name="runTarget" dataDxfId="23"/>
    <tableColumn id="2" name="Description" dataDxfId="22"/>
    <tableColumn id="17" name="scriptID" dataDxfId="21"/>
    <tableColumn id="3" name="Command" dataDxfId="20"/>
    <tableColumn id="4" name="FindMethod" dataDxfId="19"/>
    <tableColumn id="5" name="ActionTarget" dataDxfId="18"/>
    <tableColumn id="6" name="ActionValue" dataDxfId="17"/>
    <tableColumn id="7" name="VerificationCommand" dataDxfId="16"/>
    <tableColumn id="8" name="Verificationmethod" dataDxfId="15"/>
    <tableColumn id="9" name="VerificationTarget" dataDxfId="14"/>
    <tableColumn id="10" name="ExpectedResult" dataDxfId="13"/>
    <tableColumn id="11" name="ActualResult" dataDxfId="12"/>
    <tableColumn id="12" name="Result" dataDxfId="11"/>
    <tableColumn id="13" name="LastUpdate" dataDxfId="10"/>
    <tableColumn id="14" name="ErrorMessage" dataDxfId="9"/>
    <tableColumn id="15" name="Memo" dataDxfId="8"/>
  </tableColumns>
  <tableStyleInfo name="TableStyleLight4" showFirstColumn="0" showLastColumn="0" showRowStripes="1" showColumnStripes="0"/>
</table>
</file>

<file path=xl/tables/table14.xml><?xml version="1.0" encoding="utf-8"?>
<table xmlns="http://schemas.openxmlformats.org/spreadsheetml/2006/main" id="12" name="SettingsTable13" displayName="SettingsTable13" ref="A8:B15" totalsRowShown="0" headerRowDxfId="7" dataDxfId="6">
  <autoFilter ref="A8:B15"/>
  <tableColumns count="2">
    <tableColumn id="1" name="Key" dataDxfId="5"/>
    <tableColumn id="2" name="Value" dataDxfId="4"/>
  </tableColumns>
  <tableStyleInfo name="TableStyleLight4" showFirstColumn="0" showLastColumn="0" showRowStripes="1" showColumnStripes="0"/>
</table>
</file>

<file path=xl/tables/table15.xml><?xml version="1.0" encoding="utf-8"?>
<table xmlns="http://schemas.openxmlformats.org/spreadsheetml/2006/main" id="14" name="ResultsSummaryTable15" displayName="ResultsSummaryTable15" ref="D8:E14" totalsRowShown="0" headerRowDxfId="3" dataDxfId="2">
  <autoFilter ref="D8:E14"/>
  <tableColumns count="2">
    <tableColumn id="1" name="Status" dataDxfId="1"/>
    <tableColumn id="2" name="Count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automationpractice.com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ssugiya.github.io/Spreadsheetnium/" TargetMode="Externa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59999389629810485"/>
    <pageSetUpPr fitToPage="1"/>
  </sheetPr>
  <dimension ref="A1:P248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35" customFormat="1" ht="31.5" x14ac:dyDescent="0.15">
      <c r="A1" s="34" t="s">
        <v>265</v>
      </c>
      <c r="N1" s="36"/>
    </row>
    <row r="2" spans="1:16" s="35" customFormat="1" x14ac:dyDescent="0.15">
      <c r="A2" s="37" t="s">
        <v>114</v>
      </c>
      <c r="N2" s="38"/>
    </row>
    <row r="3" spans="1:16" s="35" customFormat="1" x14ac:dyDescent="0.15">
      <c r="A3" s="37" t="s">
        <v>113</v>
      </c>
      <c r="N3" s="38"/>
    </row>
    <row r="4" spans="1:16" s="35" customFormat="1" x14ac:dyDescent="0.15">
      <c r="A4" s="37" t="s">
        <v>115</v>
      </c>
      <c r="N4" s="38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ht="15" customHeight="1" x14ac:dyDescent="0.15">
      <c r="A9" s="5" t="s">
        <v>0</v>
      </c>
      <c r="B9" s="1" t="s">
        <v>104</v>
      </c>
      <c r="D9" s="5" t="s">
        <v>73</v>
      </c>
      <c r="E9" s="20">
        <f>E13-SUM(E10:E12)</f>
        <v>49</v>
      </c>
      <c r="L9" s="57"/>
      <c r="M9" s="57"/>
      <c r="N9" s="57"/>
      <c r="O9" s="57"/>
      <c r="P9" s="57"/>
    </row>
    <row r="10" spans="1:16" x14ac:dyDescent="0.15">
      <c r="A10" s="5" t="s">
        <v>11</v>
      </c>
      <c r="B10" s="17" t="s">
        <v>47</v>
      </c>
      <c r="D10" s="5" t="s">
        <v>4</v>
      </c>
      <c r="E10" s="22">
        <f>COUNTIF(TestScriptTable9[Result],"Passed")</f>
        <v>0</v>
      </c>
      <c r="L10" s="57"/>
      <c r="M10" s="57"/>
      <c r="N10" s="57"/>
      <c r="O10" s="57"/>
      <c r="P10" s="57"/>
    </row>
    <row r="11" spans="1:16" x14ac:dyDescent="0.15">
      <c r="A11" s="5" t="s">
        <v>80</v>
      </c>
      <c r="B11" s="1">
        <v>1366</v>
      </c>
      <c r="D11" s="5" t="s">
        <v>5</v>
      </c>
      <c r="E11" s="21">
        <f>COUNTIF(TestScriptTable9[Result],"Failed")</f>
        <v>0</v>
      </c>
      <c r="L11" s="57"/>
      <c r="M11" s="57"/>
      <c r="N11" s="57"/>
      <c r="O11" s="57"/>
      <c r="P11" s="57"/>
    </row>
    <row r="12" spans="1:16" x14ac:dyDescent="0.15">
      <c r="A12" s="5" t="s">
        <v>81</v>
      </c>
      <c r="B12" s="1">
        <v>768</v>
      </c>
      <c r="D12" s="5" t="s">
        <v>8</v>
      </c>
      <c r="E12" s="19">
        <f>COUNTIF(TestScriptTable9[Result],"Skipped*")</f>
        <v>0</v>
      </c>
      <c r="L12" s="57"/>
      <c r="M12" s="57"/>
      <c r="N12" s="57"/>
      <c r="O12" s="57"/>
      <c r="P12" s="57"/>
    </row>
    <row r="13" spans="1:16" x14ac:dyDescent="0.15">
      <c r="A13" s="5" t="s">
        <v>29</v>
      </c>
      <c r="B13" s="1" t="s">
        <v>285</v>
      </c>
      <c r="D13" s="5" t="s">
        <v>6</v>
      </c>
      <c r="E13" s="6">
        <f>COUNTA(TestScriptTable9[runTarget])+COUNTBLANK(TestScriptTable9[runTarget])</f>
        <v>49</v>
      </c>
      <c r="L13" s="57"/>
      <c r="M13" s="57"/>
      <c r="N13" s="57"/>
      <c r="O13" s="57"/>
      <c r="P13" s="57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57"/>
      <c r="M14" s="57"/>
      <c r="N14" s="57"/>
      <c r="O14" s="57"/>
      <c r="P14" s="57"/>
    </row>
    <row r="15" spans="1:16" x14ac:dyDescent="0.15">
      <c r="A15" s="5" t="s">
        <v>245</v>
      </c>
      <c r="B15" s="1" t="s">
        <v>79</v>
      </c>
      <c r="L15" s="54"/>
      <c r="M15" s="54"/>
      <c r="N15" s="54"/>
      <c r="O15" s="54"/>
      <c r="P15" s="54"/>
    </row>
    <row r="16" spans="1:16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4" t="s">
        <v>116</v>
      </c>
      <c r="B18" s="44"/>
      <c r="C18" s="45"/>
      <c r="D18" s="31" t="s">
        <v>21</v>
      </c>
      <c r="E18" s="31"/>
      <c r="F18" s="31"/>
      <c r="G18" s="31"/>
      <c r="H18" s="28" t="s">
        <v>74</v>
      </c>
      <c r="I18" s="32"/>
      <c r="J18" s="32"/>
      <c r="K18" s="32"/>
      <c r="L18" s="33" t="s">
        <v>32</v>
      </c>
      <c r="M18" s="33"/>
      <c r="N18" s="33"/>
      <c r="O18" s="33"/>
      <c r="P18" s="33"/>
    </row>
    <row r="19" spans="1:16" s="15" customFormat="1" ht="15.75" x14ac:dyDescent="0.1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 x14ac:dyDescent="0.15">
      <c r="A20" s="24" t="s">
        <v>76</v>
      </c>
      <c r="B20" s="1" t="s">
        <v>121</v>
      </c>
      <c r="C20" s="1" t="s">
        <v>122</v>
      </c>
      <c r="D20" s="4" t="s">
        <v>37</v>
      </c>
      <c r="E20" s="4"/>
      <c r="F20" s="4" t="s">
        <v>123</v>
      </c>
      <c r="G20" s="4"/>
      <c r="H20" s="4" t="s">
        <v>42</v>
      </c>
      <c r="I20" s="4"/>
      <c r="J20" s="4"/>
      <c r="K20" s="4" t="s">
        <v>71</v>
      </c>
      <c r="L20" s="4"/>
      <c r="M20"/>
      <c r="N20" s="3"/>
      <c r="O20" s="4"/>
    </row>
    <row r="21" spans="1:16" ht="21.75" customHeight="1" x14ac:dyDescent="0.15">
      <c r="A21" s="24" t="s">
        <v>76</v>
      </c>
      <c r="B21" s="1" t="s">
        <v>124</v>
      </c>
      <c r="C21" s="1" t="s">
        <v>125</v>
      </c>
      <c r="D21" s="4" t="s">
        <v>39</v>
      </c>
      <c r="E21" s="4" t="s">
        <v>49</v>
      </c>
      <c r="F21" s="4" t="s">
        <v>126</v>
      </c>
      <c r="G21" s="4"/>
      <c r="H21" s="4" t="s">
        <v>42</v>
      </c>
      <c r="I21" s="4"/>
      <c r="J21" s="4"/>
      <c r="K21" s="4" t="s">
        <v>85</v>
      </c>
      <c r="L21" s="4"/>
      <c r="M21"/>
      <c r="N21" s="3"/>
      <c r="O21" s="4"/>
    </row>
    <row r="22" spans="1:16" ht="21.75" customHeight="1" x14ac:dyDescent="0.15">
      <c r="A22" s="24" t="s">
        <v>76</v>
      </c>
      <c r="B22" s="1" t="s">
        <v>124</v>
      </c>
      <c r="C22" s="1" t="s">
        <v>127</v>
      </c>
      <c r="D22" s="4" t="s">
        <v>39</v>
      </c>
      <c r="E22" s="4" t="s">
        <v>31</v>
      </c>
      <c r="F22" s="4" t="s">
        <v>128</v>
      </c>
      <c r="G22" s="4"/>
      <c r="H22" s="4" t="s">
        <v>42</v>
      </c>
      <c r="I22" s="4"/>
      <c r="J22" s="4"/>
      <c r="K22" s="4" t="s">
        <v>91</v>
      </c>
      <c r="L22" s="4"/>
      <c r="M22"/>
      <c r="N22" s="3"/>
      <c r="O22" s="4"/>
    </row>
    <row r="23" spans="1:16" ht="21.75" customHeight="1" x14ac:dyDescent="0.15">
      <c r="A23" s="24" t="s">
        <v>76</v>
      </c>
      <c r="B23" s="1" t="s">
        <v>124</v>
      </c>
      <c r="C23" s="1" t="s">
        <v>129</v>
      </c>
      <c r="D23" s="4" t="s">
        <v>39</v>
      </c>
      <c r="E23" s="4" t="s">
        <v>52</v>
      </c>
      <c r="F23" s="4" t="s">
        <v>130</v>
      </c>
      <c r="G23" s="4"/>
      <c r="H23" s="4" t="s">
        <v>42</v>
      </c>
      <c r="I23" s="4"/>
      <c r="J23" s="4"/>
      <c r="K23" s="4" t="s">
        <v>86</v>
      </c>
      <c r="L23" s="4"/>
      <c r="M23"/>
      <c r="N23" s="3"/>
      <c r="O23" s="4"/>
    </row>
    <row r="24" spans="1:16" ht="21.75" customHeight="1" x14ac:dyDescent="0.15">
      <c r="A24" s="24" t="s">
        <v>76</v>
      </c>
      <c r="B24" s="1" t="s">
        <v>124</v>
      </c>
      <c r="C24" s="1" t="s">
        <v>131</v>
      </c>
      <c r="D24" s="4" t="s">
        <v>39</v>
      </c>
      <c r="E24" s="4" t="s">
        <v>82</v>
      </c>
      <c r="F24" s="4" t="s">
        <v>132</v>
      </c>
      <c r="G24" s="4"/>
      <c r="H24" s="4" t="s">
        <v>42</v>
      </c>
      <c r="I24" s="4"/>
      <c r="J24" s="4"/>
      <c r="K24" s="4" t="s">
        <v>71</v>
      </c>
      <c r="L24" s="4"/>
      <c r="M24"/>
      <c r="N24" s="3"/>
      <c r="O24" s="4"/>
    </row>
    <row r="25" spans="1:16" ht="21.75" customHeight="1" x14ac:dyDescent="0.15">
      <c r="A25" s="24" t="s">
        <v>76</v>
      </c>
      <c r="B25" s="1" t="s">
        <v>124</v>
      </c>
      <c r="C25" s="1" t="s">
        <v>133</v>
      </c>
      <c r="D25" s="4" t="s">
        <v>39</v>
      </c>
      <c r="E25" s="4" t="s">
        <v>72</v>
      </c>
      <c r="F25" s="4" t="s">
        <v>134</v>
      </c>
      <c r="G25" s="4"/>
      <c r="H25" s="4" t="s">
        <v>42</v>
      </c>
      <c r="I25" s="4"/>
      <c r="J25" s="4"/>
      <c r="K25" s="4" t="s">
        <v>71</v>
      </c>
      <c r="L25" s="4"/>
      <c r="M25"/>
      <c r="N25" s="3"/>
      <c r="O25" s="4"/>
    </row>
    <row r="26" spans="1:16" ht="21.75" customHeight="1" x14ac:dyDescent="0.15">
      <c r="A26" s="24" t="s">
        <v>76</v>
      </c>
      <c r="B26" s="1" t="s">
        <v>135</v>
      </c>
      <c r="C26" s="1" t="s">
        <v>136</v>
      </c>
      <c r="D26" s="4" t="s">
        <v>69</v>
      </c>
      <c r="E26" s="4"/>
      <c r="F26" s="4"/>
      <c r="G26" s="4"/>
      <c r="H26" s="4" t="s">
        <v>42</v>
      </c>
      <c r="I26" s="4"/>
      <c r="J26" s="4"/>
      <c r="K26" s="4" t="s">
        <v>86</v>
      </c>
      <c r="L26" s="4"/>
      <c r="M26"/>
      <c r="N26" s="3"/>
      <c r="O26" s="4"/>
    </row>
    <row r="27" spans="1:16" ht="21.75" customHeight="1" x14ac:dyDescent="0.15">
      <c r="A27" s="24" t="s">
        <v>76</v>
      </c>
      <c r="B27" s="1" t="s">
        <v>121</v>
      </c>
      <c r="C27" s="1" t="s">
        <v>137</v>
      </c>
      <c r="D27" s="4" t="s">
        <v>37</v>
      </c>
      <c r="E27" s="4"/>
      <c r="F27" s="4" t="s">
        <v>123</v>
      </c>
      <c r="G27" s="4"/>
      <c r="H27" s="4" t="s">
        <v>41</v>
      </c>
      <c r="I27" s="4"/>
      <c r="J27" s="4"/>
      <c r="K27" s="4" t="s">
        <v>87</v>
      </c>
      <c r="L27" s="4"/>
      <c r="M27"/>
      <c r="N27" s="3"/>
      <c r="O27" s="4"/>
    </row>
    <row r="28" spans="1:16" ht="21.75" customHeight="1" x14ac:dyDescent="0.15">
      <c r="A28" s="24" t="s">
        <v>76</v>
      </c>
      <c r="B28" s="1" t="s">
        <v>138</v>
      </c>
      <c r="C28" s="1" t="s">
        <v>139</v>
      </c>
      <c r="D28" s="4" t="s">
        <v>54</v>
      </c>
      <c r="E28" s="4" t="s">
        <v>49</v>
      </c>
      <c r="F28" s="4" t="s">
        <v>140</v>
      </c>
      <c r="G28" s="4"/>
      <c r="H28" s="4" t="s">
        <v>41</v>
      </c>
      <c r="I28" s="4"/>
      <c r="J28" s="4"/>
      <c r="K28" s="4" t="s">
        <v>87</v>
      </c>
      <c r="L28" s="4"/>
      <c r="M28"/>
      <c r="N28" s="3"/>
      <c r="O28" s="4"/>
    </row>
    <row r="29" spans="1:16" ht="21.75" customHeight="1" x14ac:dyDescent="0.15">
      <c r="A29" s="24" t="s">
        <v>76</v>
      </c>
      <c r="B29" s="1" t="s">
        <v>138</v>
      </c>
      <c r="C29" s="1" t="s">
        <v>141</v>
      </c>
      <c r="D29" s="4" t="s">
        <v>54</v>
      </c>
      <c r="E29" s="4" t="s">
        <v>31</v>
      </c>
      <c r="F29" s="4" t="s">
        <v>142</v>
      </c>
      <c r="G29" s="4"/>
      <c r="H29" s="4" t="s">
        <v>41</v>
      </c>
      <c r="I29" s="4"/>
      <c r="J29" s="4"/>
      <c r="K29" s="4" t="s">
        <v>87</v>
      </c>
      <c r="L29" s="4"/>
      <c r="M29"/>
      <c r="N29" s="3"/>
      <c r="O29" s="4"/>
    </row>
    <row r="30" spans="1:16" ht="21.75" customHeight="1" x14ac:dyDescent="0.15">
      <c r="A30" s="24" t="s">
        <v>76</v>
      </c>
      <c r="B30" s="1" t="s">
        <v>138</v>
      </c>
      <c r="C30" s="1" t="s">
        <v>143</v>
      </c>
      <c r="D30" s="4" t="s">
        <v>54</v>
      </c>
      <c r="E30" s="4" t="s">
        <v>82</v>
      </c>
      <c r="F30" s="4" t="s">
        <v>144</v>
      </c>
      <c r="G30" s="4"/>
      <c r="H30" s="4" t="s">
        <v>41</v>
      </c>
      <c r="I30" s="4"/>
      <c r="J30" s="4"/>
      <c r="K30" s="4" t="s">
        <v>87</v>
      </c>
      <c r="L30" s="4"/>
      <c r="M30"/>
      <c r="N30" s="3"/>
      <c r="O30" s="4"/>
    </row>
    <row r="31" spans="1:16" ht="21.75" customHeight="1" x14ac:dyDescent="0.15">
      <c r="A31" s="24" t="s">
        <v>76</v>
      </c>
      <c r="B31" s="1" t="s">
        <v>138</v>
      </c>
      <c r="C31" s="1" t="s">
        <v>145</v>
      </c>
      <c r="D31" s="4" t="s">
        <v>54</v>
      </c>
      <c r="E31" s="4" t="s">
        <v>72</v>
      </c>
      <c r="F31" s="4" t="s">
        <v>134</v>
      </c>
      <c r="G31" s="4"/>
      <c r="H31" s="4" t="s">
        <v>41</v>
      </c>
      <c r="I31" s="4"/>
      <c r="J31" s="4"/>
      <c r="K31" s="4" t="s">
        <v>87</v>
      </c>
      <c r="L31" s="4"/>
      <c r="M31"/>
      <c r="N31" s="3"/>
      <c r="O31" s="4"/>
    </row>
    <row r="32" spans="1:16" ht="21.75" customHeight="1" x14ac:dyDescent="0.15">
      <c r="A32" s="24" t="s">
        <v>76</v>
      </c>
      <c r="B32" s="1" t="s">
        <v>146</v>
      </c>
      <c r="C32" s="1" t="s">
        <v>147</v>
      </c>
      <c r="D32" s="4" t="s">
        <v>70</v>
      </c>
      <c r="E32" s="4" t="s">
        <v>49</v>
      </c>
      <c r="F32" s="4" t="s">
        <v>148</v>
      </c>
      <c r="G32" s="4" t="s">
        <v>149</v>
      </c>
      <c r="H32" s="4" t="s">
        <v>41</v>
      </c>
      <c r="I32" s="4"/>
      <c r="J32" s="4"/>
      <c r="K32" s="4" t="s">
        <v>87</v>
      </c>
      <c r="L32" s="4"/>
      <c r="M32"/>
      <c r="N32" s="3"/>
      <c r="O32" s="4"/>
    </row>
    <row r="33" spans="1:15" ht="21.75" customHeight="1" x14ac:dyDescent="0.15">
      <c r="A33" s="24" t="s">
        <v>76</v>
      </c>
      <c r="B33" s="1" t="s">
        <v>146</v>
      </c>
      <c r="C33" s="1" t="s">
        <v>150</v>
      </c>
      <c r="D33" s="4" t="s">
        <v>70</v>
      </c>
      <c r="E33" s="4" t="s">
        <v>31</v>
      </c>
      <c r="F33" s="4" t="s">
        <v>151</v>
      </c>
      <c r="G33" s="4" t="s">
        <v>88</v>
      </c>
      <c r="H33" s="4" t="s">
        <v>41</v>
      </c>
      <c r="I33" s="4"/>
      <c r="J33" s="4"/>
      <c r="K33" s="4" t="s">
        <v>87</v>
      </c>
      <c r="L33" s="4"/>
      <c r="M33"/>
      <c r="N33" s="3"/>
      <c r="O33" s="4"/>
    </row>
    <row r="34" spans="1:15" ht="21.75" customHeight="1" x14ac:dyDescent="0.15">
      <c r="A34" s="24" t="s">
        <v>76</v>
      </c>
      <c r="B34" s="1" t="s">
        <v>146</v>
      </c>
      <c r="C34" s="1" t="s">
        <v>152</v>
      </c>
      <c r="D34" s="4" t="s">
        <v>70</v>
      </c>
      <c r="E34" s="4" t="s">
        <v>82</v>
      </c>
      <c r="F34" s="4" t="s">
        <v>153</v>
      </c>
      <c r="G34" s="4" t="s">
        <v>89</v>
      </c>
      <c r="H34" s="4" t="s">
        <v>41</v>
      </c>
      <c r="I34" s="4"/>
      <c r="J34" s="4"/>
      <c r="K34" s="4" t="s">
        <v>87</v>
      </c>
      <c r="L34" s="4"/>
      <c r="M34"/>
      <c r="N34" s="3"/>
      <c r="O34" s="4"/>
    </row>
    <row r="35" spans="1:15" ht="21.75" customHeight="1" x14ac:dyDescent="0.15">
      <c r="A35" s="24" t="s">
        <v>76</v>
      </c>
      <c r="B35" s="1" t="s">
        <v>146</v>
      </c>
      <c r="C35" s="1" t="s">
        <v>154</v>
      </c>
      <c r="D35" s="4" t="s">
        <v>70</v>
      </c>
      <c r="E35" s="4" t="s">
        <v>72</v>
      </c>
      <c r="F35" s="4" t="s">
        <v>155</v>
      </c>
      <c r="G35" s="4" t="s">
        <v>90</v>
      </c>
      <c r="H35" s="4" t="s">
        <v>41</v>
      </c>
      <c r="I35" s="4"/>
      <c r="J35" s="4"/>
      <c r="K35" s="4" t="s">
        <v>87</v>
      </c>
      <c r="L35" s="4"/>
      <c r="M35"/>
      <c r="N35" s="3"/>
      <c r="O35" s="4"/>
    </row>
    <row r="36" spans="1:15" ht="21.75" customHeight="1" x14ac:dyDescent="0.15">
      <c r="A36" s="24" t="s">
        <v>76</v>
      </c>
      <c r="B36" s="1" t="s">
        <v>121</v>
      </c>
      <c r="C36" s="1" t="s">
        <v>156</v>
      </c>
      <c r="D36" s="4" t="s">
        <v>37</v>
      </c>
      <c r="E36" s="4"/>
      <c r="F36" s="4" t="s">
        <v>157</v>
      </c>
      <c r="G36" s="4"/>
      <c r="H36" s="4" t="s">
        <v>42</v>
      </c>
      <c r="I36" s="4"/>
      <c r="J36" s="4"/>
      <c r="K36" s="4" t="s">
        <v>158</v>
      </c>
      <c r="L36" s="4"/>
      <c r="M36"/>
      <c r="N36" s="3"/>
      <c r="O36" s="4"/>
    </row>
    <row r="37" spans="1:15" ht="21.75" customHeight="1" x14ac:dyDescent="0.15">
      <c r="A37" s="24" t="s">
        <v>76</v>
      </c>
      <c r="B37" s="1" t="s">
        <v>146</v>
      </c>
      <c r="C37" s="1" t="s">
        <v>159</v>
      </c>
      <c r="D37" s="4" t="s">
        <v>70</v>
      </c>
      <c r="E37" s="4" t="s">
        <v>49</v>
      </c>
      <c r="F37" s="4" t="s">
        <v>160</v>
      </c>
      <c r="G37" s="4" t="s">
        <v>161</v>
      </c>
      <c r="H37" s="4" t="s">
        <v>42</v>
      </c>
      <c r="I37" s="4"/>
      <c r="J37" s="4"/>
      <c r="K37" s="4" t="s">
        <v>158</v>
      </c>
      <c r="L37" s="4"/>
      <c r="M37"/>
      <c r="N37" s="3"/>
      <c r="O37" s="4"/>
    </row>
    <row r="38" spans="1:15" ht="21.75" customHeight="1" x14ac:dyDescent="0.15">
      <c r="A38" s="24" t="s">
        <v>76</v>
      </c>
      <c r="B38" s="1" t="s">
        <v>146</v>
      </c>
      <c r="C38" s="1" t="s">
        <v>162</v>
      </c>
      <c r="D38" s="4" t="s">
        <v>39</v>
      </c>
      <c r="E38" s="4" t="s">
        <v>49</v>
      </c>
      <c r="F38" s="4" t="s">
        <v>163</v>
      </c>
      <c r="G38" s="4"/>
      <c r="H38" s="4" t="s">
        <v>42</v>
      </c>
      <c r="I38" s="4"/>
      <c r="J38" s="4"/>
      <c r="K38" s="4" t="s">
        <v>158</v>
      </c>
      <c r="L38" s="4"/>
      <c r="M38"/>
      <c r="N38" s="3"/>
      <c r="O38" s="4"/>
    </row>
    <row r="39" spans="1:15" ht="21.75" customHeight="1" x14ac:dyDescent="0.15">
      <c r="A39" s="24" t="s">
        <v>76</v>
      </c>
      <c r="B39" s="1" t="s">
        <v>164</v>
      </c>
      <c r="C39" s="1" t="s">
        <v>165</v>
      </c>
      <c r="D39" s="4" t="s">
        <v>83</v>
      </c>
      <c r="E39" s="4" t="s">
        <v>49</v>
      </c>
      <c r="F39" s="4" t="s">
        <v>166</v>
      </c>
      <c r="G39" s="4"/>
      <c r="H39" s="4" t="s">
        <v>42</v>
      </c>
      <c r="I39" s="4"/>
      <c r="J39" s="4"/>
      <c r="K39" s="4" t="s">
        <v>158</v>
      </c>
      <c r="L39" s="4"/>
      <c r="M39"/>
      <c r="N39" s="3"/>
      <c r="O39" s="4"/>
    </row>
    <row r="40" spans="1:15" ht="21.75" customHeight="1" x14ac:dyDescent="0.15">
      <c r="A40" s="24" t="s">
        <v>76</v>
      </c>
      <c r="B40" s="1" t="s">
        <v>164</v>
      </c>
      <c r="C40" s="1" t="s">
        <v>167</v>
      </c>
      <c r="D40" s="4" t="s">
        <v>83</v>
      </c>
      <c r="E40" s="4" t="s">
        <v>31</v>
      </c>
      <c r="F40" s="4" t="s">
        <v>168</v>
      </c>
      <c r="G40" s="4"/>
      <c r="H40" s="4" t="s">
        <v>42</v>
      </c>
      <c r="I40" s="4"/>
      <c r="J40" s="4"/>
      <c r="K40" s="4" t="s">
        <v>158</v>
      </c>
      <c r="L40" s="4"/>
      <c r="M40"/>
      <c r="N40" s="3"/>
      <c r="O40" s="4"/>
    </row>
    <row r="41" spans="1:15" ht="21.75" customHeight="1" x14ac:dyDescent="0.15">
      <c r="A41" s="24" t="s">
        <v>76</v>
      </c>
      <c r="B41" s="1" t="s">
        <v>164</v>
      </c>
      <c r="C41" s="1" t="s">
        <v>169</v>
      </c>
      <c r="D41" s="4" t="s">
        <v>83</v>
      </c>
      <c r="E41" s="4" t="s">
        <v>82</v>
      </c>
      <c r="F41" s="4" t="s">
        <v>170</v>
      </c>
      <c r="G41" s="4">
        <v>2</v>
      </c>
      <c r="H41" s="4" t="s">
        <v>42</v>
      </c>
      <c r="I41" s="4"/>
      <c r="J41" s="4"/>
      <c r="K41" s="4" t="s">
        <v>158</v>
      </c>
      <c r="L41" s="4"/>
      <c r="M41"/>
      <c r="N41" s="3"/>
      <c r="O41" s="4"/>
    </row>
    <row r="42" spans="1:15" ht="21.75" customHeight="1" x14ac:dyDescent="0.15">
      <c r="A42" s="24" t="s">
        <v>76</v>
      </c>
      <c r="B42" s="1" t="s">
        <v>164</v>
      </c>
      <c r="C42" s="1" t="s">
        <v>171</v>
      </c>
      <c r="D42" s="4" t="s">
        <v>83</v>
      </c>
      <c r="E42" s="4" t="s">
        <v>72</v>
      </c>
      <c r="F42" s="4" t="s">
        <v>172</v>
      </c>
      <c r="G42" s="4"/>
      <c r="H42" s="4" t="s">
        <v>42</v>
      </c>
      <c r="I42" s="4"/>
      <c r="J42" s="4"/>
      <c r="K42" s="4" t="s">
        <v>158</v>
      </c>
      <c r="L42" s="4"/>
      <c r="M42"/>
      <c r="N42" s="3"/>
      <c r="O42" s="4"/>
    </row>
    <row r="43" spans="1:15" ht="21.75" customHeight="1" x14ac:dyDescent="0.15">
      <c r="A43" s="24" t="s">
        <v>76</v>
      </c>
      <c r="B43" s="1" t="s">
        <v>173</v>
      </c>
      <c r="C43" s="1" t="s">
        <v>174</v>
      </c>
      <c r="D43" s="4" t="s">
        <v>35</v>
      </c>
      <c r="E43" s="4" t="s">
        <v>49</v>
      </c>
      <c r="F43" s="4" t="s">
        <v>92</v>
      </c>
      <c r="G43" s="4" t="s">
        <v>175</v>
      </c>
      <c r="H43" s="4" t="s">
        <v>41</v>
      </c>
      <c r="I43" s="4"/>
      <c r="J43" s="4"/>
      <c r="K43" s="4" t="s">
        <v>93</v>
      </c>
      <c r="L43" s="4"/>
      <c r="M43"/>
      <c r="N43" s="3"/>
      <c r="O43" s="4"/>
    </row>
    <row r="44" spans="1:15" ht="21.75" customHeight="1" x14ac:dyDescent="0.15">
      <c r="A44" s="24" t="s">
        <v>76</v>
      </c>
      <c r="B44" s="1" t="s">
        <v>173</v>
      </c>
      <c r="C44" s="1" t="s">
        <v>176</v>
      </c>
      <c r="D44" s="4" t="s">
        <v>35</v>
      </c>
      <c r="E44" s="4" t="s">
        <v>31</v>
      </c>
      <c r="F44" s="4" t="s">
        <v>177</v>
      </c>
      <c r="G44" s="4" t="s">
        <v>178</v>
      </c>
      <c r="H44" s="4" t="s">
        <v>41</v>
      </c>
      <c r="I44" s="4"/>
      <c r="J44" s="4"/>
      <c r="K44" s="4" t="s">
        <v>93</v>
      </c>
      <c r="L44" s="4"/>
      <c r="M44"/>
      <c r="N44" s="3"/>
      <c r="O44" s="4"/>
    </row>
    <row r="45" spans="1:15" ht="21.75" customHeight="1" x14ac:dyDescent="0.15">
      <c r="A45" s="24" t="s">
        <v>76</v>
      </c>
      <c r="B45" s="1" t="s">
        <v>173</v>
      </c>
      <c r="C45" s="1" t="s">
        <v>179</v>
      </c>
      <c r="D45" s="4" t="s">
        <v>35</v>
      </c>
      <c r="E45" s="4" t="s">
        <v>82</v>
      </c>
      <c r="F45" s="4" t="s">
        <v>180</v>
      </c>
      <c r="G45" s="4" t="s">
        <v>181</v>
      </c>
      <c r="H45" s="4" t="s">
        <v>41</v>
      </c>
      <c r="I45" s="4"/>
      <c r="J45" s="4"/>
      <c r="K45" s="4" t="s">
        <v>93</v>
      </c>
      <c r="L45" s="4"/>
      <c r="M45"/>
      <c r="N45" s="3"/>
      <c r="O45" s="4"/>
    </row>
    <row r="46" spans="1:15" ht="21.75" customHeight="1" x14ac:dyDescent="0.15">
      <c r="A46" s="24" t="s">
        <v>76</v>
      </c>
      <c r="B46" s="1" t="s">
        <v>173</v>
      </c>
      <c r="C46" s="1" t="s">
        <v>182</v>
      </c>
      <c r="D46" s="4" t="s">
        <v>35</v>
      </c>
      <c r="E46" s="4" t="s">
        <v>72</v>
      </c>
      <c r="F46" s="4" t="s">
        <v>183</v>
      </c>
      <c r="G46" s="4" t="s">
        <v>184</v>
      </c>
      <c r="H46" s="4" t="s">
        <v>41</v>
      </c>
      <c r="I46" s="4"/>
      <c r="J46" s="4"/>
      <c r="K46" s="4" t="s">
        <v>93</v>
      </c>
      <c r="L46" s="4"/>
      <c r="M46"/>
      <c r="N46" s="3"/>
      <c r="O46" s="4"/>
    </row>
    <row r="47" spans="1:15" ht="21.75" customHeight="1" x14ac:dyDescent="0.15">
      <c r="A47" s="24" t="s">
        <v>76</v>
      </c>
      <c r="B47" s="1" t="s">
        <v>300</v>
      </c>
      <c r="C47" s="1" t="s">
        <v>185</v>
      </c>
      <c r="D47" s="4" t="s">
        <v>288</v>
      </c>
      <c r="E47" s="4" t="s">
        <v>296</v>
      </c>
      <c r="F47" s="4" t="s">
        <v>289</v>
      </c>
      <c r="G47" s="4"/>
      <c r="H47" s="4" t="s">
        <v>42</v>
      </c>
      <c r="I47" s="4"/>
      <c r="J47" s="4"/>
      <c r="K47" s="4" t="s">
        <v>158</v>
      </c>
      <c r="L47" s="4"/>
      <c r="M47"/>
      <c r="N47" s="3"/>
      <c r="O47" s="4"/>
    </row>
    <row r="48" spans="1:15" ht="21.75" customHeight="1" x14ac:dyDescent="0.15">
      <c r="A48" s="24" t="s">
        <v>76</v>
      </c>
      <c r="B48" s="1" t="s">
        <v>297</v>
      </c>
      <c r="C48" s="1" t="s">
        <v>187</v>
      </c>
      <c r="D48" s="4" t="s">
        <v>291</v>
      </c>
      <c r="E48" s="4"/>
      <c r="F48" s="4" t="s">
        <v>293</v>
      </c>
      <c r="G48" s="4"/>
      <c r="H48" s="4" t="s">
        <v>42</v>
      </c>
      <c r="I48" s="4"/>
      <c r="J48" s="4"/>
      <c r="K48" s="4" t="s">
        <v>295</v>
      </c>
      <c r="L48" s="4"/>
      <c r="M48"/>
      <c r="N48" s="3"/>
      <c r="O48" s="4"/>
    </row>
    <row r="49" spans="1:15" ht="21.75" customHeight="1" x14ac:dyDescent="0.15">
      <c r="A49" s="24" t="s">
        <v>76</v>
      </c>
      <c r="B49" s="1" t="s">
        <v>298</v>
      </c>
      <c r="C49" s="1" t="s">
        <v>190</v>
      </c>
      <c r="D49" s="4" t="s">
        <v>288</v>
      </c>
      <c r="E49" s="4" t="s">
        <v>296</v>
      </c>
      <c r="F49" s="4" t="s">
        <v>294</v>
      </c>
      <c r="G49" s="4"/>
      <c r="H49" s="4" t="s">
        <v>42</v>
      </c>
      <c r="I49" s="4"/>
      <c r="J49" s="4"/>
      <c r="K49" s="4" t="s">
        <v>295</v>
      </c>
      <c r="L49" s="4"/>
      <c r="M49"/>
      <c r="N49" s="3"/>
      <c r="O49" s="4"/>
    </row>
    <row r="50" spans="1:15" ht="21.75" customHeight="1" x14ac:dyDescent="0.15">
      <c r="A50" s="24" t="s">
        <v>76</v>
      </c>
      <c r="B50" s="1" t="s">
        <v>299</v>
      </c>
      <c r="C50" s="1" t="s">
        <v>192</v>
      </c>
      <c r="D50" s="4" t="s">
        <v>291</v>
      </c>
      <c r="E50" s="4"/>
      <c r="F50" s="4" t="s">
        <v>158</v>
      </c>
      <c r="G50" s="4"/>
      <c r="H50" s="4" t="s">
        <v>42</v>
      </c>
      <c r="I50" s="4"/>
      <c r="J50" s="4"/>
      <c r="K50" s="4" t="s">
        <v>158</v>
      </c>
      <c r="L50" s="4"/>
      <c r="M50"/>
      <c r="N50" s="3"/>
      <c r="O50" s="4"/>
    </row>
    <row r="51" spans="1:15" ht="21.75" customHeight="1" x14ac:dyDescent="0.15">
      <c r="A51" s="24" t="s">
        <v>76</v>
      </c>
      <c r="B51" s="1" t="s">
        <v>121</v>
      </c>
      <c r="C51" s="1" t="s">
        <v>194</v>
      </c>
      <c r="D51" s="4" t="s">
        <v>37</v>
      </c>
      <c r="E51" s="4"/>
      <c r="F51" s="4" t="s">
        <v>123</v>
      </c>
      <c r="G51" s="4"/>
      <c r="H51" s="4" t="s">
        <v>41</v>
      </c>
      <c r="I51" s="4"/>
      <c r="J51" s="4"/>
      <c r="K51" s="4" t="s">
        <v>87</v>
      </c>
      <c r="L51" s="4"/>
      <c r="M51"/>
      <c r="N51" s="3"/>
      <c r="O51" s="4"/>
    </row>
    <row r="52" spans="1:15" ht="21.75" customHeight="1" x14ac:dyDescent="0.15">
      <c r="A52" s="24" t="s">
        <v>76</v>
      </c>
      <c r="B52" s="1" t="s">
        <v>186</v>
      </c>
      <c r="C52" s="1" t="s">
        <v>196</v>
      </c>
      <c r="D52" s="4" t="s">
        <v>84</v>
      </c>
      <c r="E52" s="4"/>
      <c r="F52" s="4" t="s">
        <v>188</v>
      </c>
      <c r="G52" s="4" t="s">
        <v>189</v>
      </c>
      <c r="H52" s="4" t="s">
        <v>42</v>
      </c>
      <c r="I52" s="4"/>
      <c r="J52" s="4"/>
      <c r="K52" s="4" t="s">
        <v>71</v>
      </c>
      <c r="L52" s="4"/>
      <c r="M52"/>
      <c r="N52" s="3"/>
      <c r="O52" s="4"/>
    </row>
    <row r="53" spans="1:15" ht="21.75" customHeight="1" x14ac:dyDescent="0.15">
      <c r="A53" s="24" t="s">
        <v>76</v>
      </c>
      <c r="B53" s="1" t="s">
        <v>186</v>
      </c>
      <c r="C53" s="1" t="s">
        <v>199</v>
      </c>
      <c r="D53" s="4" t="s">
        <v>84</v>
      </c>
      <c r="E53" s="4"/>
      <c r="F53" s="4" t="s">
        <v>188</v>
      </c>
      <c r="G53" s="4" t="s">
        <v>191</v>
      </c>
      <c r="H53" s="4" t="s">
        <v>42</v>
      </c>
      <c r="I53" s="4"/>
      <c r="J53" s="4"/>
      <c r="K53" s="4" t="s">
        <v>71</v>
      </c>
      <c r="L53" s="4"/>
      <c r="M53"/>
      <c r="N53" s="3"/>
      <c r="O53" s="4"/>
    </row>
    <row r="54" spans="1:15" ht="21.75" customHeight="1" x14ac:dyDescent="0.15">
      <c r="A54" s="24" t="s">
        <v>76</v>
      </c>
      <c r="B54" s="1" t="s">
        <v>186</v>
      </c>
      <c r="C54" s="1" t="s">
        <v>202</v>
      </c>
      <c r="D54" s="4" t="s">
        <v>84</v>
      </c>
      <c r="E54" s="4"/>
      <c r="F54" s="4" t="s">
        <v>188</v>
      </c>
      <c r="G54" s="4" t="s">
        <v>193</v>
      </c>
      <c r="H54" s="4" t="s">
        <v>42</v>
      </c>
      <c r="I54" s="4"/>
      <c r="J54" s="4"/>
      <c r="K54" s="4" t="s">
        <v>71</v>
      </c>
      <c r="L54" s="4"/>
      <c r="M54"/>
      <c r="N54" s="3"/>
      <c r="O54" s="4"/>
    </row>
    <row r="55" spans="1:15" ht="21.75" customHeight="1" x14ac:dyDescent="0.15">
      <c r="A55" s="24" t="s">
        <v>76</v>
      </c>
      <c r="B55" s="1" t="s">
        <v>186</v>
      </c>
      <c r="C55" s="1" t="s">
        <v>204</v>
      </c>
      <c r="D55" s="4" t="s">
        <v>84</v>
      </c>
      <c r="E55" s="4"/>
      <c r="F55" s="4" t="s">
        <v>188</v>
      </c>
      <c r="G55" s="4" t="s">
        <v>195</v>
      </c>
      <c r="H55" s="4" t="s">
        <v>42</v>
      </c>
      <c r="I55" s="4"/>
      <c r="J55" s="4"/>
      <c r="K55" s="4" t="s">
        <v>71</v>
      </c>
      <c r="L55" s="4"/>
      <c r="M55"/>
      <c r="N55" s="3"/>
      <c r="O55" s="4"/>
    </row>
    <row r="56" spans="1:15" ht="21.75" customHeight="1" x14ac:dyDescent="0.15">
      <c r="A56" s="24" t="s">
        <v>76</v>
      </c>
      <c r="B56" s="1" t="s">
        <v>121</v>
      </c>
      <c r="C56" s="1" t="s">
        <v>207</v>
      </c>
      <c r="D56" s="4" t="s">
        <v>37</v>
      </c>
      <c r="E56" s="4"/>
      <c r="F56" s="4" t="s">
        <v>197</v>
      </c>
      <c r="G56" s="4"/>
      <c r="H56" s="4" t="s">
        <v>42</v>
      </c>
      <c r="I56" s="4"/>
      <c r="J56" s="4"/>
      <c r="K56" s="4" t="s">
        <v>95</v>
      </c>
      <c r="L56" s="4"/>
      <c r="M56"/>
      <c r="N56" s="3"/>
      <c r="O56" s="4"/>
    </row>
    <row r="57" spans="1:15" ht="21.75" customHeight="1" x14ac:dyDescent="0.15">
      <c r="A57" s="24" t="s">
        <v>76</v>
      </c>
      <c r="B57" s="1" t="s">
        <v>198</v>
      </c>
      <c r="C57" s="1" t="s">
        <v>211</v>
      </c>
      <c r="D57" s="4" t="s">
        <v>48</v>
      </c>
      <c r="E57" s="4"/>
      <c r="F57" s="4"/>
      <c r="G57" s="4">
        <v>0</v>
      </c>
      <c r="H57" s="4" t="s">
        <v>43</v>
      </c>
      <c r="I57" s="4" t="s">
        <v>49</v>
      </c>
      <c r="J57" s="4" t="s">
        <v>200</v>
      </c>
      <c r="K57" s="4" t="s">
        <v>201</v>
      </c>
      <c r="L57" s="4"/>
      <c r="M57"/>
      <c r="N57" s="3"/>
      <c r="O57" s="4"/>
    </row>
    <row r="58" spans="1:15" ht="21.75" customHeight="1" x14ac:dyDescent="0.15">
      <c r="A58" s="24" t="s">
        <v>76</v>
      </c>
      <c r="B58" s="1" t="s">
        <v>198</v>
      </c>
      <c r="C58" s="1" t="s">
        <v>213</v>
      </c>
      <c r="D58" s="4" t="s">
        <v>48</v>
      </c>
      <c r="E58" s="4"/>
      <c r="F58" s="4"/>
      <c r="G58" s="4">
        <v>100</v>
      </c>
      <c r="H58" s="4" t="s">
        <v>43</v>
      </c>
      <c r="I58" s="4" t="s">
        <v>31</v>
      </c>
      <c r="J58" s="4" t="s">
        <v>128</v>
      </c>
      <c r="K58" s="4" t="s">
        <v>203</v>
      </c>
      <c r="L58" s="4"/>
      <c r="M58"/>
      <c r="N58" s="3"/>
      <c r="O58" s="4"/>
    </row>
    <row r="59" spans="1:15" ht="21.75" customHeight="1" x14ac:dyDescent="0.15">
      <c r="A59" s="24" t="s">
        <v>76</v>
      </c>
      <c r="B59" s="1" t="s">
        <v>198</v>
      </c>
      <c r="C59" s="1" t="s">
        <v>214</v>
      </c>
      <c r="D59" s="4" t="s">
        <v>48</v>
      </c>
      <c r="E59" s="4"/>
      <c r="F59" s="4"/>
      <c r="G59" s="4">
        <v>200</v>
      </c>
      <c r="H59" s="4" t="s">
        <v>43</v>
      </c>
      <c r="I59" s="4" t="s">
        <v>82</v>
      </c>
      <c r="J59" s="4" t="s">
        <v>205</v>
      </c>
      <c r="K59" s="4" t="s">
        <v>206</v>
      </c>
      <c r="L59" s="4"/>
      <c r="M59"/>
      <c r="N59" s="3"/>
      <c r="O59" s="4"/>
    </row>
    <row r="60" spans="1:15" ht="21.75" customHeight="1" x14ac:dyDescent="0.15">
      <c r="A60" s="24" t="s">
        <v>76</v>
      </c>
      <c r="B60" s="1" t="s">
        <v>198</v>
      </c>
      <c r="C60" s="1" t="s">
        <v>215</v>
      </c>
      <c r="D60" s="4" t="s">
        <v>48</v>
      </c>
      <c r="E60" s="4"/>
      <c r="F60" s="4"/>
      <c r="G60" s="4">
        <v>300</v>
      </c>
      <c r="H60" s="4" t="s">
        <v>43</v>
      </c>
      <c r="I60" s="4" t="s">
        <v>72</v>
      </c>
      <c r="J60" s="4" t="s">
        <v>208</v>
      </c>
      <c r="K60" s="4" t="s">
        <v>209</v>
      </c>
      <c r="L60" s="4"/>
      <c r="M60"/>
      <c r="N60" s="3"/>
      <c r="O60" s="4"/>
    </row>
    <row r="61" spans="1:15" ht="21.75" customHeight="1" x14ac:dyDescent="0.15">
      <c r="A61" s="24" t="s">
        <v>76</v>
      </c>
      <c r="B61" s="1" t="s">
        <v>210</v>
      </c>
      <c r="C61" s="1" t="s">
        <v>218</v>
      </c>
      <c r="D61" s="4" t="s">
        <v>48</v>
      </c>
      <c r="E61" s="4"/>
      <c r="F61" s="4"/>
      <c r="G61" s="4">
        <v>400</v>
      </c>
      <c r="H61" s="4" t="s">
        <v>44</v>
      </c>
      <c r="I61" s="4" t="s">
        <v>49</v>
      </c>
      <c r="J61" s="4" t="s">
        <v>200</v>
      </c>
      <c r="K61" s="4" t="s">
        <v>212</v>
      </c>
      <c r="L61" s="4"/>
      <c r="M61"/>
      <c r="N61" s="3"/>
      <c r="O61" s="4"/>
    </row>
    <row r="62" spans="1:15" ht="21.75" customHeight="1" x14ac:dyDescent="0.15">
      <c r="A62" s="24" t="s">
        <v>76</v>
      </c>
      <c r="B62" s="1" t="s">
        <v>210</v>
      </c>
      <c r="C62" s="1" t="s">
        <v>220</v>
      </c>
      <c r="D62" s="4" t="s">
        <v>48</v>
      </c>
      <c r="E62" s="4"/>
      <c r="F62" s="4"/>
      <c r="G62" s="4">
        <v>500</v>
      </c>
      <c r="H62" s="4" t="s">
        <v>44</v>
      </c>
      <c r="I62" s="4" t="s">
        <v>31</v>
      </c>
      <c r="J62" s="4" t="s">
        <v>128</v>
      </c>
      <c r="K62" s="4" t="s">
        <v>94</v>
      </c>
      <c r="L62" s="4"/>
      <c r="M62"/>
      <c r="N62" s="3"/>
      <c r="O62" s="4"/>
    </row>
    <row r="63" spans="1:15" ht="21.75" customHeight="1" x14ac:dyDescent="0.15">
      <c r="A63" s="24" t="s">
        <v>76</v>
      </c>
      <c r="B63" s="1" t="s">
        <v>210</v>
      </c>
      <c r="C63" s="1" t="s">
        <v>222</v>
      </c>
      <c r="D63" s="4" t="s">
        <v>48</v>
      </c>
      <c r="E63" s="4"/>
      <c r="F63" s="4"/>
      <c r="G63" s="4">
        <v>600</v>
      </c>
      <c r="H63" s="4" t="s">
        <v>44</v>
      </c>
      <c r="I63" s="4" t="s">
        <v>82</v>
      </c>
      <c r="J63" s="4" t="s">
        <v>205</v>
      </c>
      <c r="K63" s="4" t="s">
        <v>96</v>
      </c>
      <c r="L63" s="4"/>
      <c r="M63"/>
      <c r="N63" s="3"/>
      <c r="O63" s="4"/>
    </row>
    <row r="64" spans="1:15" ht="21.75" customHeight="1" x14ac:dyDescent="0.15">
      <c r="A64" s="24" t="s">
        <v>76</v>
      </c>
      <c r="B64" s="1" t="s">
        <v>210</v>
      </c>
      <c r="C64" s="1" t="s">
        <v>224</v>
      </c>
      <c r="D64" s="4" t="s">
        <v>48</v>
      </c>
      <c r="E64" s="4"/>
      <c r="F64" s="4"/>
      <c r="G64" s="4">
        <v>700</v>
      </c>
      <c r="H64" s="4" t="s">
        <v>44</v>
      </c>
      <c r="I64" s="4" t="s">
        <v>72</v>
      </c>
      <c r="J64" s="4" t="s">
        <v>208</v>
      </c>
      <c r="K64" s="4" t="s">
        <v>216</v>
      </c>
      <c r="L64" s="4"/>
      <c r="M64"/>
      <c r="N64" s="3"/>
      <c r="O64" s="4"/>
    </row>
    <row r="65" spans="1:15" ht="21.75" customHeight="1" x14ac:dyDescent="0.15">
      <c r="A65" s="24" t="s">
        <v>76</v>
      </c>
      <c r="B65" s="1" t="s">
        <v>217</v>
      </c>
      <c r="C65" s="1" t="s">
        <v>301</v>
      </c>
      <c r="D65" s="4" t="s">
        <v>48</v>
      </c>
      <c r="E65" s="4"/>
      <c r="F65" s="4"/>
      <c r="G65" s="4">
        <v>800</v>
      </c>
      <c r="H65" s="4" t="s">
        <v>45</v>
      </c>
      <c r="I65" s="4" t="s">
        <v>49</v>
      </c>
      <c r="J65" s="4" t="s">
        <v>200</v>
      </c>
      <c r="K65" s="4" t="s">
        <v>219</v>
      </c>
      <c r="L65" s="4"/>
      <c r="M65"/>
      <c r="N65" s="3"/>
      <c r="O65" s="4"/>
    </row>
    <row r="66" spans="1:15" ht="21.75" customHeight="1" x14ac:dyDescent="0.15">
      <c r="A66" s="24" t="s">
        <v>76</v>
      </c>
      <c r="B66" s="1" t="s">
        <v>217</v>
      </c>
      <c r="C66" s="1" t="s">
        <v>302</v>
      </c>
      <c r="D66" s="4" t="s">
        <v>48</v>
      </c>
      <c r="E66" s="4"/>
      <c r="F66" s="4"/>
      <c r="G66" s="4">
        <v>900</v>
      </c>
      <c r="H66" s="4" t="s">
        <v>45</v>
      </c>
      <c r="I66" s="4" t="s">
        <v>31</v>
      </c>
      <c r="J66" s="4" t="s">
        <v>128</v>
      </c>
      <c r="K66" s="4" t="s">
        <v>221</v>
      </c>
      <c r="L66" s="4"/>
      <c r="M66"/>
      <c r="N66" s="3"/>
      <c r="O66" s="4"/>
    </row>
    <row r="67" spans="1:15" ht="21.75" customHeight="1" x14ac:dyDescent="0.15">
      <c r="A67" s="24" t="s">
        <v>76</v>
      </c>
      <c r="B67" s="1" t="s">
        <v>217</v>
      </c>
      <c r="C67" s="1" t="s">
        <v>303</v>
      </c>
      <c r="D67" s="4" t="s">
        <v>48</v>
      </c>
      <c r="E67" s="4"/>
      <c r="F67" s="4"/>
      <c r="G67" s="4">
        <v>1000</v>
      </c>
      <c r="H67" s="4" t="s">
        <v>45</v>
      </c>
      <c r="I67" s="4" t="s">
        <v>82</v>
      </c>
      <c r="J67" s="4" t="s">
        <v>205</v>
      </c>
      <c r="K67" s="4" t="s">
        <v>223</v>
      </c>
      <c r="L67" s="4"/>
      <c r="M67"/>
      <c r="N67" s="3"/>
      <c r="O67" s="4"/>
    </row>
    <row r="68" spans="1:15" ht="21.75" customHeight="1" x14ac:dyDescent="0.15">
      <c r="A68" s="24" t="s">
        <v>76</v>
      </c>
      <c r="B68" s="1" t="s">
        <v>217</v>
      </c>
      <c r="C68" s="1" t="s">
        <v>304</v>
      </c>
      <c r="D68" s="4" t="s">
        <v>48</v>
      </c>
      <c r="E68" s="4"/>
      <c r="F68" s="4"/>
      <c r="G68" s="4">
        <v>1100</v>
      </c>
      <c r="H68" s="4" t="s">
        <v>45</v>
      </c>
      <c r="I68" s="4" t="s">
        <v>72</v>
      </c>
      <c r="J68" s="4" t="s">
        <v>208</v>
      </c>
      <c r="K68" s="4" t="s">
        <v>225</v>
      </c>
      <c r="L68" s="4"/>
      <c r="M68"/>
      <c r="N68" s="3"/>
      <c r="O68" s="4"/>
    </row>
    <row r="69" spans="1:15" ht="21.75" customHeight="1" x14ac:dyDescent="0.15">
      <c r="A69" s="24"/>
      <c r="C69" s="13"/>
      <c r="D69" s="4"/>
      <c r="E69" s="4"/>
      <c r="F69" s="4"/>
      <c r="G69" s="4"/>
      <c r="H69" s="4"/>
      <c r="I69" s="4"/>
      <c r="J69" s="4"/>
      <c r="K69" s="4"/>
      <c r="L69" s="4"/>
      <c r="M69" s="29"/>
      <c r="N69" s="3"/>
      <c r="O69" s="4"/>
    </row>
    <row r="70" spans="1:15" ht="21.75" customHeight="1" x14ac:dyDescent="0.15">
      <c r="A70" s="24"/>
      <c r="C70" s="13"/>
      <c r="D70" s="4"/>
      <c r="E70" s="4"/>
      <c r="F70" s="4"/>
      <c r="G70" s="4"/>
      <c r="H70" s="4"/>
      <c r="I70" s="4"/>
      <c r="J70" s="4"/>
      <c r="K70" s="4"/>
      <c r="L70" s="4"/>
      <c r="M70" s="29"/>
      <c r="N70" s="3"/>
      <c r="O70" s="4"/>
    </row>
    <row r="71" spans="1:15" ht="21.75" customHeight="1" x14ac:dyDescent="0.15">
      <c r="A71" s="24"/>
      <c r="C71" s="13"/>
      <c r="D71" s="4"/>
      <c r="E71" s="4"/>
      <c r="F71" s="4"/>
      <c r="G71" s="4"/>
      <c r="H71" s="4"/>
      <c r="I71" s="4"/>
      <c r="J71" s="4"/>
      <c r="K71" s="4"/>
      <c r="L71" s="4"/>
      <c r="M71" s="29"/>
      <c r="N71" s="3"/>
      <c r="O71" s="4"/>
    </row>
    <row r="72" spans="1:15" ht="21.75" customHeight="1" x14ac:dyDescent="0.15">
      <c r="A72" s="24"/>
      <c r="C72" s="13"/>
      <c r="D72" s="4"/>
      <c r="E72" s="4"/>
      <c r="F72" s="4"/>
      <c r="G72" s="4"/>
      <c r="H72" s="4"/>
      <c r="I72" s="4"/>
      <c r="J72" s="4"/>
      <c r="K72" s="4"/>
      <c r="L72" s="4"/>
      <c r="M72" s="29"/>
      <c r="N72" s="3"/>
      <c r="O72" s="4"/>
    </row>
    <row r="73" spans="1:15" ht="21.75" customHeight="1" x14ac:dyDescent="0.15">
      <c r="A73" s="24"/>
      <c r="C73" s="13"/>
      <c r="D73" s="4"/>
      <c r="E73" s="4"/>
      <c r="F73" s="4"/>
      <c r="G73" s="4"/>
      <c r="H73" s="4"/>
      <c r="I73" s="4"/>
      <c r="J73" s="4"/>
      <c r="K73" s="4"/>
      <c r="L73" s="4"/>
      <c r="M73" s="29"/>
      <c r="N73" s="3"/>
      <c r="O73" s="4"/>
    </row>
    <row r="74" spans="1:15" ht="21.75" customHeight="1" x14ac:dyDescent="0.15">
      <c r="A74" s="24"/>
      <c r="C74" s="13"/>
      <c r="D74" s="4"/>
      <c r="E74" s="4"/>
      <c r="F74" s="4"/>
      <c r="G74" s="4"/>
      <c r="H74" s="4"/>
      <c r="I74" s="4"/>
      <c r="J74" s="4"/>
      <c r="K74" s="4"/>
      <c r="L74" s="4"/>
      <c r="M74" s="29"/>
      <c r="N74" s="3"/>
      <c r="O74" s="4"/>
    </row>
    <row r="75" spans="1:15" ht="21.75" customHeight="1" x14ac:dyDescent="0.15">
      <c r="A75" s="24"/>
      <c r="C75" s="13"/>
      <c r="D75" s="4"/>
      <c r="E75" s="4"/>
      <c r="F75" s="4"/>
      <c r="G75" s="4"/>
      <c r="H75" s="4"/>
      <c r="I75" s="4"/>
      <c r="J75" s="4"/>
      <c r="K75" s="4"/>
      <c r="L75" s="4"/>
      <c r="M75" s="29"/>
      <c r="N75" s="3"/>
      <c r="O75" s="4"/>
    </row>
    <row r="76" spans="1:15" ht="21.75" customHeight="1" x14ac:dyDescent="0.15">
      <c r="A76" s="24"/>
      <c r="C76" s="13"/>
      <c r="D76" s="4"/>
      <c r="E76" s="4"/>
      <c r="F76" s="4"/>
      <c r="G76" s="23"/>
      <c r="H76" s="4"/>
      <c r="I76" s="4"/>
      <c r="J76" s="4"/>
      <c r="K76" s="4"/>
      <c r="L76" s="4"/>
      <c r="M76" s="29"/>
      <c r="N76" s="3"/>
      <c r="O76" s="4"/>
    </row>
    <row r="77" spans="1:15" ht="21.75" customHeight="1" x14ac:dyDescent="0.15">
      <c r="A77" s="24"/>
      <c r="C77" s="13"/>
      <c r="D77" s="4"/>
      <c r="E77" s="4"/>
      <c r="F77" s="4"/>
      <c r="G77" s="4"/>
      <c r="H77" s="4"/>
      <c r="I77" s="4"/>
      <c r="J77" s="4"/>
      <c r="K77" s="4"/>
      <c r="L77" s="4"/>
      <c r="M77" s="29"/>
      <c r="N77" s="3"/>
      <c r="O77" s="4"/>
    </row>
    <row r="78" spans="1:15" ht="21.75" customHeight="1" x14ac:dyDescent="0.15">
      <c r="A78" s="24"/>
      <c r="C78" s="13"/>
      <c r="D78" s="4"/>
      <c r="E78" s="4"/>
      <c r="F78" s="4"/>
      <c r="G78" s="4"/>
      <c r="H78" s="4"/>
      <c r="I78" s="4"/>
      <c r="J78" s="4"/>
      <c r="K78" s="4"/>
      <c r="L78" s="4"/>
      <c r="M78" s="29"/>
      <c r="N78" s="3"/>
      <c r="O78" s="4"/>
    </row>
    <row r="79" spans="1:15" ht="21.75" customHeight="1" x14ac:dyDescent="0.15">
      <c r="A79" s="24"/>
      <c r="C79" s="13"/>
      <c r="D79" s="4"/>
      <c r="E79" s="4"/>
      <c r="F79" s="4"/>
      <c r="G79" s="25"/>
      <c r="H79" s="4"/>
      <c r="I79" s="4"/>
      <c r="J79" s="4"/>
      <c r="K79" s="4"/>
      <c r="L79" s="4"/>
      <c r="M79" s="29"/>
      <c r="N79" s="3"/>
      <c r="O79" s="4"/>
    </row>
    <row r="80" spans="1:15" ht="21.75" customHeight="1" x14ac:dyDescent="0.15">
      <c r="A80" s="24"/>
      <c r="C80" s="13"/>
      <c r="D80" s="4"/>
      <c r="E80" s="4"/>
      <c r="F80" s="4"/>
      <c r="G80" s="25"/>
      <c r="H80" s="4"/>
      <c r="I80" s="4"/>
      <c r="J80" s="4"/>
      <c r="K80" s="4"/>
      <c r="L80" s="4"/>
      <c r="M80" s="29"/>
      <c r="N80" s="3"/>
      <c r="O80" s="4"/>
    </row>
    <row r="81" spans="1:15" ht="21.75" customHeight="1" x14ac:dyDescent="0.15">
      <c r="A81" s="24"/>
      <c r="C81" s="13"/>
      <c r="D81" s="4"/>
      <c r="E81" s="4"/>
      <c r="F81" s="4"/>
      <c r="G81" s="25"/>
      <c r="H81" s="4"/>
      <c r="I81" s="4"/>
      <c r="J81" s="4"/>
      <c r="K81" s="4"/>
      <c r="L81" s="4"/>
      <c r="M81" s="29"/>
      <c r="N81" s="3"/>
      <c r="O81" s="4"/>
    </row>
    <row r="82" spans="1:15" ht="21.75" customHeight="1" x14ac:dyDescent="0.15">
      <c r="A82" s="24"/>
      <c r="C82" s="13"/>
      <c r="D82" s="4"/>
      <c r="E82" s="4"/>
      <c r="F82" s="4"/>
      <c r="G82" s="26"/>
      <c r="H82" s="4"/>
      <c r="I82" s="4"/>
      <c r="J82" s="4"/>
      <c r="K82" s="4"/>
      <c r="L82" s="4"/>
      <c r="M82" s="29"/>
      <c r="N82" s="3"/>
      <c r="O82" s="4"/>
    </row>
    <row r="83" spans="1:15" ht="21.75" customHeight="1" x14ac:dyDescent="0.15">
      <c r="A83" s="24"/>
      <c r="C83" s="13"/>
      <c r="D83" s="4"/>
      <c r="E83" s="4"/>
      <c r="F83" s="4"/>
      <c r="G83" s="26"/>
      <c r="H83" s="4"/>
      <c r="I83" s="4"/>
      <c r="J83" s="4"/>
      <c r="K83" s="4"/>
      <c r="L83" s="4"/>
      <c r="M83" s="29"/>
      <c r="N83" s="3"/>
      <c r="O83" s="4"/>
    </row>
    <row r="84" spans="1:15" ht="21.75" customHeight="1" x14ac:dyDescent="0.15">
      <c r="A84" s="24"/>
      <c r="C84" s="13"/>
      <c r="D84" s="4"/>
      <c r="E84" s="4"/>
      <c r="F84" s="4"/>
      <c r="G84" s="26"/>
      <c r="H84" s="4"/>
      <c r="I84" s="4"/>
      <c r="J84" s="4"/>
      <c r="K84" s="4"/>
      <c r="L84" s="4"/>
      <c r="M84" s="29"/>
      <c r="N84" s="3"/>
      <c r="O84" s="4"/>
    </row>
    <row r="85" spans="1:15" ht="21.75" customHeight="1" x14ac:dyDescent="0.15">
      <c r="A85" s="24"/>
      <c r="C85" s="13"/>
      <c r="D85" s="4"/>
      <c r="E85" s="4"/>
      <c r="F85" s="4"/>
      <c r="G85" s="26"/>
      <c r="H85" s="4"/>
      <c r="I85" s="4"/>
      <c r="J85" s="4"/>
      <c r="K85" s="4"/>
      <c r="L85" s="4"/>
      <c r="M85" s="29"/>
      <c r="N85" s="3"/>
      <c r="O85" s="4"/>
    </row>
    <row r="86" spans="1:15" ht="21.75" customHeight="1" x14ac:dyDescent="0.15">
      <c r="A86" s="24"/>
      <c r="C86" s="13"/>
      <c r="D86" s="4"/>
      <c r="E86" s="4"/>
      <c r="F86" s="4"/>
      <c r="G86" s="25"/>
      <c r="H86" s="4"/>
      <c r="I86" s="4"/>
      <c r="J86" s="4"/>
      <c r="K86" s="4"/>
      <c r="L86" s="4"/>
      <c r="M86" s="29"/>
      <c r="N86" s="3"/>
      <c r="O86" s="4"/>
    </row>
    <row r="87" spans="1:15" ht="21.75" customHeight="1" x14ac:dyDescent="0.15">
      <c r="A87" s="24"/>
      <c r="C87" s="13"/>
      <c r="D87" s="4"/>
      <c r="E87" s="4"/>
      <c r="F87" s="4"/>
      <c r="G87" s="4"/>
      <c r="H87" s="4"/>
      <c r="I87" s="4"/>
      <c r="J87" s="4"/>
      <c r="K87" s="4"/>
      <c r="L87" s="4"/>
      <c r="M87" s="29"/>
      <c r="N87" s="3"/>
      <c r="O87" s="4"/>
    </row>
    <row r="88" spans="1:15" ht="21.75" customHeight="1" x14ac:dyDescent="0.15">
      <c r="A88" s="24"/>
      <c r="C88" s="13"/>
      <c r="D88" s="4"/>
      <c r="E88" s="4"/>
      <c r="F88" s="4"/>
      <c r="G88" s="4"/>
      <c r="H88" s="4"/>
      <c r="I88" s="4"/>
      <c r="J88" s="4"/>
      <c r="K88" s="4"/>
      <c r="L88" s="4"/>
      <c r="M88" s="29"/>
      <c r="N88" s="3"/>
      <c r="O88" s="4"/>
    </row>
    <row r="89" spans="1:15" ht="21.75" customHeight="1" x14ac:dyDescent="0.15">
      <c r="A89" s="24"/>
      <c r="C89" s="13"/>
      <c r="D89" s="4"/>
      <c r="E89" s="4"/>
      <c r="F89" s="4"/>
      <c r="G89" s="4"/>
      <c r="H89" s="4"/>
      <c r="I89" s="4"/>
      <c r="J89" s="4"/>
      <c r="K89" s="4"/>
      <c r="L89" s="4"/>
      <c r="M89" s="29"/>
      <c r="N89" s="3"/>
      <c r="O89" s="4"/>
    </row>
    <row r="90" spans="1:15" ht="21.75" customHeight="1" x14ac:dyDescent="0.15">
      <c r="A90" s="24"/>
      <c r="C90" s="13"/>
      <c r="D90" s="4"/>
      <c r="E90" s="4"/>
      <c r="F90" s="4"/>
      <c r="G90" s="4"/>
      <c r="H90" s="4"/>
      <c r="I90" s="4"/>
      <c r="J90" s="4"/>
      <c r="K90" s="4"/>
      <c r="L90" s="4"/>
      <c r="M90" s="29"/>
      <c r="N90" s="3"/>
      <c r="O90" s="4"/>
    </row>
    <row r="91" spans="1:15" ht="21.75" customHeight="1" x14ac:dyDescent="0.15">
      <c r="A91" s="24"/>
      <c r="C91" s="13"/>
      <c r="D91" s="4"/>
      <c r="E91" s="4"/>
      <c r="F91" s="4"/>
      <c r="G91" s="25"/>
      <c r="H91" s="4"/>
      <c r="I91" s="4"/>
      <c r="J91" s="4"/>
      <c r="K91" s="4"/>
      <c r="L91" s="4"/>
      <c r="M91" s="29"/>
      <c r="N91" s="3"/>
      <c r="O91" s="4"/>
    </row>
    <row r="92" spans="1:15" ht="21.75" customHeight="1" x14ac:dyDescent="0.15">
      <c r="A92" s="24"/>
      <c r="C92" s="13"/>
      <c r="D92" s="4"/>
      <c r="E92" s="4"/>
      <c r="F92" s="4"/>
      <c r="G92" s="4"/>
      <c r="H92" s="4"/>
      <c r="I92" s="4"/>
      <c r="J92" s="4"/>
      <c r="K92" s="4"/>
      <c r="L92" s="4"/>
      <c r="M92" s="29"/>
      <c r="N92" s="3"/>
      <c r="O92" s="4"/>
    </row>
    <row r="93" spans="1:15" ht="21.75" customHeight="1" x14ac:dyDescent="0.15">
      <c r="A93" s="24"/>
      <c r="C93" s="13"/>
      <c r="D93" s="4"/>
      <c r="E93" s="4"/>
      <c r="F93" s="4"/>
      <c r="G93" s="4"/>
      <c r="H93" s="4"/>
      <c r="I93" s="4"/>
      <c r="J93" s="4"/>
      <c r="K93" s="4"/>
      <c r="L93" s="4"/>
      <c r="M93" s="29"/>
      <c r="N93" s="3"/>
      <c r="O93" s="4"/>
    </row>
    <row r="94" spans="1:15" ht="21.75" customHeight="1" x14ac:dyDescent="0.15">
      <c r="A94" s="24"/>
      <c r="C94" s="13"/>
      <c r="D94" s="4"/>
      <c r="E94" s="4"/>
      <c r="F94" s="4"/>
      <c r="G94" s="4"/>
      <c r="H94" s="4"/>
      <c r="I94" s="4"/>
      <c r="J94" s="4"/>
      <c r="K94" s="4"/>
      <c r="L94" s="4"/>
      <c r="M94" s="29"/>
      <c r="N94" s="3"/>
      <c r="O94" s="4"/>
    </row>
    <row r="95" spans="1:15" ht="21.75" customHeight="1" x14ac:dyDescent="0.15">
      <c r="A95" s="24"/>
      <c r="C95" s="13"/>
      <c r="D95" s="4"/>
      <c r="E95" s="4"/>
      <c r="F95" s="4"/>
      <c r="G95" s="4"/>
      <c r="H95" s="4"/>
      <c r="I95" s="4"/>
      <c r="J95" s="4"/>
      <c r="K95" s="4"/>
      <c r="L95" s="4"/>
      <c r="M95" s="29"/>
      <c r="N95" s="3"/>
      <c r="O95" s="4"/>
    </row>
    <row r="96" spans="1:15" ht="21.75" customHeight="1" x14ac:dyDescent="0.15">
      <c r="A96" s="24"/>
      <c r="C96" s="13"/>
      <c r="D96" s="4"/>
      <c r="E96" s="4"/>
      <c r="F96" s="4"/>
      <c r="G96" s="4"/>
      <c r="H96" s="4"/>
      <c r="I96" s="4"/>
      <c r="J96" s="4"/>
      <c r="K96" s="4"/>
      <c r="L96" s="4"/>
      <c r="M96" s="29"/>
      <c r="N96" s="3"/>
      <c r="O96" s="4"/>
    </row>
    <row r="97" spans="1:15" ht="21.75" customHeight="1" x14ac:dyDescent="0.15">
      <c r="A97" s="24"/>
      <c r="C97" s="13"/>
      <c r="D97" s="4"/>
      <c r="E97" s="4"/>
      <c r="F97" s="4"/>
      <c r="G97" s="4"/>
      <c r="H97" s="4"/>
      <c r="I97" s="4"/>
      <c r="J97" s="4"/>
      <c r="K97" s="4"/>
      <c r="L97" s="4"/>
      <c r="M97" s="29"/>
      <c r="N97" s="3"/>
      <c r="O97" s="4"/>
    </row>
    <row r="98" spans="1:15" ht="21.75" customHeight="1" x14ac:dyDescent="0.15">
      <c r="A98" s="24"/>
      <c r="C98" s="13"/>
      <c r="D98" s="4"/>
      <c r="E98" s="4"/>
      <c r="F98" s="4"/>
      <c r="G98" s="4"/>
      <c r="H98" s="4"/>
      <c r="I98" s="4"/>
      <c r="J98" s="4"/>
      <c r="K98" s="4"/>
      <c r="L98" s="4"/>
      <c r="M98" s="29"/>
      <c r="N98" s="3"/>
      <c r="O98" s="4"/>
    </row>
    <row r="99" spans="1:15" ht="21.75" customHeight="1" x14ac:dyDescent="0.15">
      <c r="A99" s="24"/>
      <c r="C99" s="13"/>
      <c r="D99" s="4"/>
      <c r="E99" s="4"/>
      <c r="F99" s="4"/>
      <c r="G99" s="4"/>
      <c r="H99" s="4"/>
      <c r="I99" s="4"/>
      <c r="J99" s="4"/>
      <c r="K99" s="4"/>
      <c r="L99" s="4"/>
      <c r="M99" s="29"/>
      <c r="N99" s="3"/>
      <c r="O99" s="4"/>
    </row>
    <row r="100" spans="1:15" ht="21.75" customHeight="1" x14ac:dyDescent="0.15">
      <c r="A100" s="24"/>
      <c r="C100" s="13"/>
      <c r="D100" s="4"/>
      <c r="E100" s="4"/>
      <c r="F100" s="4"/>
      <c r="G100" s="4"/>
      <c r="H100" s="4"/>
      <c r="I100" s="4"/>
      <c r="J100" s="4"/>
      <c r="K100" s="27"/>
      <c r="L100" s="4"/>
      <c r="M100" s="29"/>
      <c r="N100" s="3"/>
      <c r="O100" s="4"/>
    </row>
    <row r="101" spans="1:15" ht="21.75" customHeight="1" x14ac:dyDescent="0.15">
      <c r="A101" s="24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9"/>
      <c r="N101" s="3"/>
      <c r="O101" s="4"/>
    </row>
    <row r="102" spans="1:15" ht="21.75" customHeight="1" x14ac:dyDescent="0.15">
      <c r="A102" s="24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9"/>
      <c r="N102" s="3"/>
      <c r="O102" s="4"/>
    </row>
    <row r="103" spans="1:15" ht="21.75" customHeight="1" x14ac:dyDescent="0.15">
      <c r="A103" s="24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9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3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3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3"/>
      <c r="O110" s="4"/>
    </row>
    <row r="111" spans="1:15" ht="21.75" customHeight="1" x14ac:dyDescent="0.15">
      <c r="A111" s="11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3"/>
      <c r="O111" s="4"/>
    </row>
    <row r="112" spans="1:15" ht="21.75" customHeight="1" x14ac:dyDescent="0.15">
      <c r="A112" s="11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3"/>
      <c r="O112" s="4"/>
    </row>
    <row r="113" spans="1:15" ht="21.75" customHeight="1" x14ac:dyDescent="0.15">
      <c r="A113" s="11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3"/>
      <c r="O113" s="4"/>
    </row>
    <row r="114" spans="1:15" ht="21.75" customHeight="1" x14ac:dyDescent="0.15">
      <c r="A114" s="11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3"/>
      <c r="O114" s="4"/>
    </row>
    <row r="115" spans="1:15" ht="21.75" customHeight="1" x14ac:dyDescent="0.15">
      <c r="A115" s="11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3"/>
      <c r="O115" s="4"/>
    </row>
    <row r="116" spans="1:15" ht="21.75" customHeight="1" x14ac:dyDescent="0.15">
      <c r="A116" s="11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3"/>
      <c r="O116" s="4"/>
    </row>
    <row r="117" spans="1:15" ht="21.75" customHeight="1" x14ac:dyDescent="0.15">
      <c r="A117" s="11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3"/>
      <c r="O117" s="4"/>
    </row>
    <row r="118" spans="1:15" ht="21.75" customHeight="1" x14ac:dyDescent="0.15">
      <c r="A118" s="11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3"/>
      <c r="O118" s="4"/>
    </row>
    <row r="119" spans="1:15" ht="21.75" customHeight="1" x14ac:dyDescent="0.15">
      <c r="A119" s="11"/>
      <c r="C119" s="13"/>
      <c r="D119" s="4"/>
      <c r="E119" s="4"/>
      <c r="F119" s="4"/>
      <c r="G119" s="4"/>
      <c r="H119" s="4"/>
      <c r="I119" s="4"/>
      <c r="J119" s="4"/>
      <c r="K119" s="8"/>
      <c r="L119" s="8"/>
      <c r="M119" s="4"/>
      <c r="N119" s="3"/>
      <c r="O119" s="4"/>
    </row>
    <row r="120" spans="1:15" ht="21.75" customHeight="1" x14ac:dyDescent="0.15">
      <c r="A120" s="11"/>
      <c r="C120" s="13"/>
      <c r="D120" s="4"/>
      <c r="E120" s="4"/>
      <c r="F120" s="4"/>
      <c r="G120" s="4"/>
      <c r="H120" s="4"/>
      <c r="I120" s="4"/>
      <c r="J120" s="4"/>
      <c r="K120" s="18"/>
      <c r="L120" s="18"/>
      <c r="M120" s="4"/>
      <c r="N120" s="3"/>
      <c r="O120" s="4"/>
    </row>
    <row r="121" spans="1:15" ht="21.75" customHeight="1" x14ac:dyDescent="0.15">
      <c r="A121" s="11"/>
      <c r="C121" s="13"/>
      <c r="D121" s="4"/>
      <c r="E121" s="4"/>
      <c r="F121" s="4"/>
      <c r="G121" s="4"/>
      <c r="H121" s="4"/>
      <c r="I121" s="4"/>
      <c r="J121" s="4"/>
      <c r="K121" s="18"/>
      <c r="L121" s="18"/>
      <c r="M121" s="4"/>
      <c r="N121" s="3"/>
      <c r="O121" s="4"/>
    </row>
    <row r="122" spans="1:15" ht="21.75" customHeight="1" x14ac:dyDescent="0.15">
      <c r="A122" s="11"/>
      <c r="C122" s="13"/>
      <c r="D122" s="4"/>
      <c r="E122" s="4"/>
      <c r="F122" s="4"/>
      <c r="G122" s="4"/>
      <c r="H122" s="4"/>
      <c r="I122" s="4"/>
      <c r="J122" s="4"/>
      <c r="K122" s="8"/>
      <c r="L122" s="8"/>
      <c r="M122" s="4"/>
      <c r="N122" s="3"/>
      <c r="O122" s="4"/>
    </row>
    <row r="123" spans="1:15" ht="21.75" customHeight="1" x14ac:dyDescent="0.15">
      <c r="A123" s="11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9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9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9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8"/>
      <c r="L135" s="8"/>
      <c r="M135" s="29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18"/>
      <c r="L136" s="18"/>
      <c r="M136" s="29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18"/>
      <c r="L137" s="18"/>
      <c r="M137" s="29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8"/>
      <c r="L138" s="8"/>
      <c r="M138" s="29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9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9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9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9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9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9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9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9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9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9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9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9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8"/>
      <c r="L151" s="8"/>
      <c r="M151" s="29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18"/>
      <c r="L152" s="18"/>
      <c r="M152" s="29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18"/>
      <c r="L153" s="18"/>
      <c r="M153" s="29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8"/>
      <c r="L154" s="8"/>
      <c r="M154" s="29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9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9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9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9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9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9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9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9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9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9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9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9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8"/>
      <c r="L167" s="8"/>
      <c r="M167" s="29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18"/>
      <c r="L168" s="18"/>
      <c r="M168" s="29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18"/>
      <c r="L169" s="18"/>
      <c r="M169" s="29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8"/>
      <c r="L170" s="8"/>
      <c r="M170" s="29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9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9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9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9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9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9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9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9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9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9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9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9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8"/>
      <c r="L183" s="8"/>
      <c r="M183" s="29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18"/>
      <c r="L184" s="18"/>
      <c r="M184" s="29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18"/>
      <c r="L185" s="18"/>
      <c r="M185" s="29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8"/>
      <c r="L186" s="8"/>
      <c r="M186" s="29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9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9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9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9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9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9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9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9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9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9"/>
      <c r="N196" s="3"/>
      <c r="O196" s="4"/>
    </row>
    <row r="197" spans="1:15" ht="21.75" customHeight="1" x14ac:dyDescent="0.15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9"/>
      <c r="N197" s="3"/>
      <c r="O197" s="4"/>
    </row>
    <row r="198" spans="1:15" ht="21.75" customHeight="1" x14ac:dyDescent="0.15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9"/>
      <c r="N198" s="3"/>
      <c r="O198" s="4"/>
    </row>
    <row r="199" spans="1:15" ht="21.75" customHeight="1" x14ac:dyDescent="0.15">
      <c r="A199" s="12"/>
      <c r="C199" s="13"/>
      <c r="D199" s="4"/>
      <c r="E199" s="4"/>
      <c r="F199" s="4"/>
      <c r="G199" s="4"/>
      <c r="H199" s="4"/>
      <c r="I199" s="4"/>
      <c r="J199" s="4"/>
      <c r="K199" s="8"/>
      <c r="L199" s="8"/>
      <c r="M199" s="29"/>
      <c r="N199" s="3"/>
      <c r="O199" s="4"/>
    </row>
    <row r="200" spans="1:15" ht="21.75" customHeight="1" x14ac:dyDescent="0.15">
      <c r="A200" s="12"/>
      <c r="C200" s="13"/>
      <c r="D200" s="4"/>
      <c r="E200" s="4"/>
      <c r="F200" s="4"/>
      <c r="G200" s="4"/>
      <c r="H200" s="4"/>
      <c r="I200" s="4"/>
      <c r="J200" s="4"/>
      <c r="K200" s="18"/>
      <c r="L200" s="18"/>
      <c r="M200" s="29"/>
      <c r="N200" s="3"/>
      <c r="O200" s="4"/>
    </row>
    <row r="201" spans="1:15" x14ac:dyDescent="0.15">
      <c r="A201" s="12"/>
      <c r="C201" s="13"/>
      <c r="D201" s="4"/>
      <c r="E201" s="4"/>
      <c r="F201" s="4"/>
      <c r="G201" s="4"/>
      <c r="H201" s="4"/>
      <c r="I201" s="4"/>
      <c r="J201" s="4"/>
      <c r="K201" s="18"/>
      <c r="L201" s="18"/>
      <c r="M201" s="29"/>
      <c r="N201" s="3"/>
      <c r="O201" s="4"/>
    </row>
    <row r="202" spans="1:15" x14ac:dyDescent="0.15">
      <c r="A202" s="12"/>
      <c r="C202" s="13"/>
      <c r="D202" s="4"/>
      <c r="E202" s="4"/>
      <c r="F202" s="4"/>
      <c r="G202" s="4"/>
      <c r="H202" s="4"/>
      <c r="I202" s="4"/>
      <c r="J202" s="4"/>
      <c r="K202" s="8"/>
      <c r="L202" s="8"/>
      <c r="M202" s="29"/>
      <c r="N202" s="3"/>
      <c r="O202" s="4"/>
    </row>
    <row r="203" spans="1:15" x14ac:dyDescent="0.15">
      <c r="A203" s="12"/>
      <c r="C203" s="13"/>
      <c r="D203" s="4"/>
      <c r="E203" s="4"/>
      <c r="F203" s="4"/>
      <c r="G203" s="4"/>
      <c r="H203" s="4"/>
      <c r="I203" s="4"/>
      <c r="J203" s="4"/>
      <c r="K203" s="4"/>
      <c r="L203" s="4"/>
      <c r="M203" s="29"/>
      <c r="N203" s="3"/>
      <c r="O203" s="4"/>
    </row>
    <row r="204" spans="1:15" x14ac:dyDescent="0.15">
      <c r="A204" s="12"/>
      <c r="C204" s="13"/>
      <c r="D204" s="4"/>
      <c r="E204" s="4"/>
      <c r="F204" s="4"/>
      <c r="G204" s="4"/>
      <c r="H204" s="4"/>
      <c r="I204" s="4"/>
      <c r="J204" s="4"/>
      <c r="K204" s="4"/>
      <c r="L204" s="4"/>
      <c r="M204" s="29"/>
      <c r="N204" s="3"/>
      <c r="O204" s="4"/>
    </row>
    <row r="205" spans="1:15" x14ac:dyDescent="0.15">
      <c r="A205" s="12"/>
      <c r="C205" s="13"/>
      <c r="D205" s="4"/>
      <c r="E205" s="4"/>
      <c r="F205" s="4"/>
      <c r="G205" s="4"/>
      <c r="H205" s="4"/>
      <c r="I205" s="4"/>
      <c r="J205" s="4"/>
      <c r="K205" s="4"/>
      <c r="L205" s="4"/>
      <c r="M205" s="29"/>
      <c r="N205" s="3"/>
      <c r="O205" s="4"/>
    </row>
    <row r="206" spans="1:15" x14ac:dyDescent="0.15">
      <c r="A206" s="12"/>
      <c r="C206" s="13"/>
      <c r="D206" s="4"/>
      <c r="E206" s="4"/>
      <c r="F206" s="4"/>
      <c r="G206" s="4"/>
      <c r="H206" s="4"/>
      <c r="I206" s="4"/>
      <c r="J206" s="4"/>
      <c r="K206" s="4"/>
      <c r="L206" s="4"/>
      <c r="M206" s="29"/>
      <c r="N206" s="3"/>
      <c r="O206" s="4"/>
    </row>
    <row r="207" spans="1:15" x14ac:dyDescent="0.15">
      <c r="A207" s="12"/>
      <c r="C207" s="13"/>
      <c r="D207" s="4"/>
      <c r="E207" s="4"/>
      <c r="F207" s="4"/>
      <c r="G207" s="4"/>
      <c r="H207" s="4"/>
      <c r="I207" s="4"/>
      <c r="J207" s="4"/>
      <c r="K207" s="4"/>
      <c r="L207" s="4"/>
      <c r="M207" s="29"/>
      <c r="N207" s="3"/>
      <c r="O207" s="4"/>
    </row>
    <row r="208" spans="1:15" x14ac:dyDescent="0.15">
      <c r="A208" s="12"/>
      <c r="C208" s="13"/>
      <c r="D208" s="4"/>
      <c r="E208" s="4"/>
      <c r="F208" s="4"/>
      <c r="G208" s="4"/>
      <c r="H208" s="4"/>
      <c r="I208" s="4"/>
      <c r="J208" s="4"/>
      <c r="K208" s="4"/>
      <c r="L208" s="4"/>
      <c r="M208" s="29"/>
      <c r="N208" s="3"/>
      <c r="O208" s="4"/>
    </row>
    <row r="209" spans="1:15" x14ac:dyDescent="0.15">
      <c r="A209" s="12"/>
      <c r="C209" s="13"/>
      <c r="D209" s="4"/>
      <c r="E209" s="4"/>
      <c r="F209" s="4"/>
      <c r="G209" s="4"/>
      <c r="H209" s="4"/>
      <c r="I209" s="4"/>
      <c r="J209" s="4"/>
      <c r="K209" s="4"/>
      <c r="L209" s="4"/>
      <c r="M209" s="29"/>
      <c r="N209" s="3"/>
      <c r="O209" s="4"/>
    </row>
    <row r="210" spans="1:15" x14ac:dyDescent="0.15">
      <c r="A210" s="12"/>
      <c r="C210" s="13"/>
      <c r="D210" s="4"/>
      <c r="E210" s="4"/>
      <c r="F210" s="4"/>
      <c r="G210" s="4"/>
      <c r="H210" s="4"/>
      <c r="I210" s="4"/>
      <c r="J210" s="4"/>
      <c r="K210" s="4"/>
      <c r="L210" s="4"/>
      <c r="M210" s="29"/>
      <c r="N210" s="3"/>
      <c r="O210" s="4"/>
    </row>
    <row r="211" spans="1:15" x14ac:dyDescent="0.15">
      <c r="A211" s="12"/>
      <c r="C211" s="13"/>
      <c r="D211" s="4"/>
      <c r="E211" s="4"/>
      <c r="F211" s="4"/>
      <c r="G211" s="4"/>
      <c r="H211" s="4"/>
      <c r="I211" s="4"/>
      <c r="J211" s="4"/>
      <c r="K211" s="4"/>
      <c r="L211" s="4"/>
      <c r="M211" s="29"/>
      <c r="N211" s="3"/>
      <c r="O211" s="4"/>
    </row>
    <row r="212" spans="1:15" x14ac:dyDescent="0.15">
      <c r="A212" s="12"/>
      <c r="C212" s="13"/>
      <c r="D212" s="4"/>
      <c r="E212" s="4"/>
      <c r="F212" s="4"/>
      <c r="G212" s="4"/>
      <c r="H212" s="4"/>
      <c r="I212" s="4"/>
      <c r="J212" s="4"/>
      <c r="K212" s="4"/>
      <c r="L212" s="4"/>
      <c r="M212" s="29"/>
      <c r="N212" s="3"/>
      <c r="O212" s="4"/>
    </row>
    <row r="213" spans="1:15" x14ac:dyDescent="0.15">
      <c r="A213" s="12"/>
      <c r="C213" s="13"/>
      <c r="D213" s="4"/>
      <c r="E213" s="4"/>
      <c r="F213" s="4"/>
      <c r="G213" s="4"/>
      <c r="H213" s="4"/>
      <c r="I213" s="4"/>
      <c r="J213" s="4"/>
      <c r="K213" s="4"/>
      <c r="L213" s="4"/>
      <c r="M213" s="29"/>
      <c r="N213" s="3"/>
      <c r="O213" s="4"/>
    </row>
    <row r="214" spans="1:15" x14ac:dyDescent="0.15">
      <c r="A214" s="12"/>
      <c r="C214" s="13"/>
      <c r="D214" s="4"/>
      <c r="E214" s="4"/>
      <c r="F214" s="4"/>
      <c r="G214" s="4"/>
      <c r="H214" s="4"/>
      <c r="I214" s="4"/>
      <c r="J214" s="4"/>
      <c r="K214" s="4"/>
      <c r="L214" s="4"/>
      <c r="M214" s="29"/>
      <c r="N214" s="3"/>
      <c r="O214" s="4"/>
    </row>
    <row r="215" spans="1:15" x14ac:dyDescent="0.15">
      <c r="A215" s="12"/>
      <c r="C215" s="13"/>
      <c r="D215" s="4"/>
      <c r="E215" s="4"/>
      <c r="F215" s="4"/>
      <c r="G215" s="4"/>
      <c r="H215" s="4"/>
      <c r="I215" s="4"/>
      <c r="J215" s="4"/>
      <c r="K215" s="8"/>
      <c r="L215" s="8"/>
      <c r="M215" s="29"/>
      <c r="N215" s="3"/>
      <c r="O215" s="4"/>
    </row>
    <row r="216" spans="1:15" x14ac:dyDescent="0.15">
      <c r="A216" s="12"/>
      <c r="C216" s="13"/>
      <c r="D216" s="4"/>
      <c r="E216" s="4"/>
      <c r="F216" s="4"/>
      <c r="G216" s="4"/>
      <c r="H216" s="4"/>
      <c r="I216" s="4"/>
      <c r="J216" s="4"/>
      <c r="K216" s="18"/>
      <c r="L216" s="18"/>
      <c r="M216" s="29"/>
      <c r="N216" s="3"/>
      <c r="O216" s="4"/>
    </row>
    <row r="217" spans="1:15" x14ac:dyDescent="0.15">
      <c r="A217" s="12"/>
      <c r="C217" s="13"/>
      <c r="D217" s="4"/>
      <c r="E217" s="4"/>
      <c r="F217" s="4"/>
      <c r="G217" s="4"/>
      <c r="H217" s="4"/>
      <c r="I217" s="4"/>
      <c r="J217" s="4"/>
      <c r="K217" s="18"/>
      <c r="L217" s="18"/>
      <c r="M217" s="29"/>
      <c r="N217" s="3"/>
      <c r="O217" s="4"/>
    </row>
    <row r="218" spans="1:15" x14ac:dyDescent="0.15">
      <c r="A218" s="12"/>
      <c r="C218" s="13"/>
      <c r="D218" s="4"/>
      <c r="E218" s="4"/>
      <c r="F218" s="4"/>
      <c r="G218" s="4"/>
      <c r="H218" s="4"/>
      <c r="I218" s="4"/>
      <c r="J218" s="4"/>
      <c r="K218" s="8"/>
      <c r="L218" s="8"/>
      <c r="M218" s="29"/>
      <c r="N218" s="3"/>
      <c r="O218" s="4"/>
    </row>
    <row r="219" spans="1:15" x14ac:dyDescent="0.15">
      <c r="A219" s="12"/>
      <c r="C219" s="13"/>
      <c r="D219" s="4"/>
      <c r="E219" s="4"/>
      <c r="F219" s="4"/>
      <c r="G219" s="4"/>
      <c r="H219" s="4"/>
      <c r="I219" s="4"/>
      <c r="J219" s="4"/>
      <c r="K219" s="4"/>
      <c r="L219" s="4"/>
      <c r="M219" s="29"/>
      <c r="N219" s="3"/>
      <c r="O219" s="4"/>
    </row>
    <row r="220" spans="1:15" x14ac:dyDescent="0.15">
      <c r="A220" s="12"/>
      <c r="C220" s="13"/>
      <c r="D220" s="4"/>
      <c r="E220" s="4"/>
      <c r="F220" s="4"/>
      <c r="G220" s="4"/>
      <c r="H220" s="4"/>
      <c r="I220" s="4"/>
      <c r="J220" s="4"/>
      <c r="K220" s="4"/>
      <c r="L220" s="4"/>
      <c r="M220" s="29"/>
      <c r="N220" s="3"/>
      <c r="O220" s="4"/>
    </row>
    <row r="221" spans="1:15" x14ac:dyDescent="0.15">
      <c r="A221" s="12"/>
      <c r="C221" s="13"/>
      <c r="D221" s="4"/>
      <c r="E221" s="4"/>
      <c r="F221" s="4"/>
      <c r="G221" s="4"/>
      <c r="H221" s="4"/>
      <c r="I221" s="4"/>
      <c r="J221" s="4"/>
      <c r="K221" s="4"/>
      <c r="L221" s="4"/>
      <c r="M221" s="29"/>
      <c r="N221" s="3"/>
      <c r="O221" s="4"/>
    </row>
    <row r="222" spans="1:15" x14ac:dyDescent="0.15">
      <c r="A222" s="12"/>
      <c r="C222" s="13"/>
      <c r="D222" s="4"/>
      <c r="E222" s="4"/>
      <c r="F222" s="4"/>
      <c r="G222" s="4"/>
      <c r="H222" s="4"/>
      <c r="I222" s="4"/>
      <c r="J222" s="4"/>
      <c r="K222" s="4"/>
      <c r="L222" s="4"/>
      <c r="M222" s="29"/>
      <c r="N222" s="3"/>
      <c r="O222" s="4"/>
    </row>
    <row r="223" spans="1:15" x14ac:dyDescent="0.15">
      <c r="A223" s="12"/>
      <c r="C223" s="13"/>
      <c r="D223" s="4"/>
      <c r="E223" s="4"/>
      <c r="F223" s="4"/>
      <c r="G223" s="4"/>
      <c r="H223" s="4"/>
      <c r="I223" s="4"/>
      <c r="J223" s="4"/>
      <c r="K223" s="4"/>
      <c r="L223" s="4"/>
      <c r="M223" s="29"/>
      <c r="N223" s="3"/>
      <c r="O223" s="4"/>
    </row>
    <row r="224" spans="1:15" x14ac:dyDescent="0.15">
      <c r="A224" s="12"/>
      <c r="C224" s="13"/>
      <c r="D224" s="4"/>
      <c r="E224" s="4"/>
      <c r="F224" s="4"/>
      <c r="G224" s="4"/>
      <c r="H224" s="4"/>
      <c r="I224" s="4"/>
      <c r="J224" s="4"/>
      <c r="K224" s="4"/>
      <c r="L224" s="4"/>
      <c r="M224" s="29"/>
      <c r="N224" s="3"/>
      <c r="O224" s="4"/>
    </row>
    <row r="225" spans="1:15" x14ac:dyDescent="0.15">
      <c r="A225" s="12"/>
      <c r="C225" s="13"/>
      <c r="D225" s="4"/>
      <c r="E225" s="4"/>
      <c r="F225" s="4"/>
      <c r="G225" s="4"/>
      <c r="H225" s="4"/>
      <c r="I225" s="4"/>
      <c r="J225" s="4"/>
      <c r="K225" s="4"/>
      <c r="L225" s="4"/>
      <c r="M225" s="29"/>
      <c r="N225" s="3"/>
      <c r="O225" s="4"/>
    </row>
    <row r="226" spans="1:15" x14ac:dyDescent="0.15">
      <c r="A226" s="12"/>
      <c r="C226" s="13"/>
      <c r="D226" s="4"/>
      <c r="E226" s="4"/>
      <c r="F226" s="4"/>
      <c r="G226" s="4"/>
      <c r="H226" s="4"/>
      <c r="I226" s="4"/>
      <c r="J226" s="4"/>
      <c r="K226" s="4"/>
      <c r="L226" s="4"/>
      <c r="M226" s="29"/>
      <c r="N226" s="3"/>
      <c r="O226" s="4"/>
    </row>
    <row r="227" spans="1:15" x14ac:dyDescent="0.15">
      <c r="A227" s="12"/>
      <c r="C227" s="13"/>
      <c r="D227" s="4"/>
      <c r="E227" s="4"/>
      <c r="F227" s="4"/>
      <c r="G227" s="4"/>
      <c r="H227" s="4"/>
      <c r="I227" s="4"/>
      <c r="J227" s="4"/>
      <c r="K227" s="4"/>
      <c r="L227" s="4"/>
      <c r="M227" s="29"/>
      <c r="N227" s="3"/>
      <c r="O227" s="4"/>
    </row>
    <row r="228" spans="1:15" x14ac:dyDescent="0.15">
      <c r="A228" s="12"/>
      <c r="C228" s="13"/>
      <c r="D228" s="4"/>
      <c r="E228" s="4"/>
      <c r="F228" s="4"/>
      <c r="G228" s="4"/>
      <c r="H228" s="4"/>
      <c r="I228" s="4"/>
      <c r="J228" s="4"/>
      <c r="K228" s="4"/>
      <c r="L228" s="4"/>
      <c r="M228" s="29"/>
      <c r="N228" s="3"/>
      <c r="O228" s="4"/>
    </row>
    <row r="229" spans="1:15" x14ac:dyDescent="0.15">
      <c r="A229" s="12"/>
      <c r="C229" s="13"/>
      <c r="D229" s="4"/>
      <c r="E229" s="4"/>
      <c r="F229" s="4"/>
      <c r="G229" s="4"/>
      <c r="H229" s="4"/>
      <c r="I229" s="4"/>
      <c r="J229" s="4"/>
      <c r="K229" s="4"/>
      <c r="L229" s="4"/>
      <c r="M229" s="29"/>
      <c r="N229" s="3"/>
      <c r="O229" s="4"/>
    </row>
    <row r="230" spans="1:15" x14ac:dyDescent="0.15">
      <c r="A230" s="12"/>
      <c r="C230" s="13"/>
      <c r="D230" s="4"/>
      <c r="E230" s="4"/>
      <c r="F230" s="4"/>
      <c r="G230" s="4"/>
      <c r="H230" s="4"/>
      <c r="I230" s="4"/>
      <c r="J230" s="4"/>
      <c r="K230" s="4"/>
      <c r="L230" s="4"/>
      <c r="M230" s="29"/>
      <c r="N230" s="3"/>
      <c r="O230" s="4"/>
    </row>
    <row r="231" spans="1:15" x14ac:dyDescent="0.15">
      <c r="A231" s="12"/>
      <c r="C231" s="13"/>
      <c r="D231" s="4"/>
      <c r="E231" s="4"/>
      <c r="F231" s="4"/>
      <c r="G231" s="4"/>
      <c r="H231" s="4"/>
      <c r="I231" s="4"/>
      <c r="J231" s="4"/>
      <c r="K231" s="8"/>
      <c r="L231" s="8"/>
      <c r="M231" s="29"/>
      <c r="N231" s="3"/>
      <c r="O231" s="4"/>
    </row>
    <row r="232" spans="1:15" x14ac:dyDescent="0.15">
      <c r="A232" s="12"/>
      <c r="C232" s="13"/>
      <c r="D232" s="4"/>
      <c r="E232" s="4"/>
      <c r="F232" s="4"/>
      <c r="G232" s="4"/>
      <c r="H232" s="4"/>
      <c r="I232" s="4"/>
      <c r="J232" s="4"/>
      <c r="K232" s="18"/>
      <c r="L232" s="18"/>
      <c r="M232" s="29"/>
      <c r="N232" s="3"/>
      <c r="O232" s="4"/>
    </row>
    <row r="233" spans="1:15" x14ac:dyDescent="0.15">
      <c r="A233" s="12"/>
      <c r="C233" s="13"/>
      <c r="D233" s="4"/>
      <c r="E233" s="4"/>
      <c r="F233" s="4"/>
      <c r="G233" s="4"/>
      <c r="H233" s="4"/>
      <c r="I233" s="4"/>
      <c r="J233" s="4"/>
      <c r="K233" s="18"/>
      <c r="L233" s="18"/>
      <c r="M233" s="29"/>
      <c r="N233" s="3"/>
      <c r="O233" s="4"/>
    </row>
    <row r="234" spans="1:15" x14ac:dyDescent="0.15">
      <c r="A234" s="12"/>
      <c r="C234" s="13"/>
      <c r="D234" s="4"/>
      <c r="E234" s="4"/>
      <c r="F234" s="4"/>
      <c r="G234" s="4"/>
      <c r="H234" s="4"/>
      <c r="I234" s="4"/>
      <c r="J234" s="4"/>
      <c r="K234" s="8"/>
      <c r="L234" s="8"/>
      <c r="M234" s="29"/>
      <c r="N234" s="3"/>
      <c r="O234" s="4"/>
    </row>
    <row r="235" spans="1:15" x14ac:dyDescent="0.15">
      <c r="A235" s="12"/>
      <c r="C235" s="13"/>
      <c r="D235" s="4"/>
      <c r="E235" s="4"/>
      <c r="F235" s="4"/>
      <c r="G235" s="4"/>
      <c r="H235" s="4"/>
      <c r="I235" s="4"/>
      <c r="J235" s="4"/>
      <c r="K235" s="4"/>
      <c r="L235" s="4"/>
      <c r="M235" s="29"/>
      <c r="N235" s="3"/>
      <c r="O235" s="4"/>
    </row>
    <row r="236" spans="1:15" x14ac:dyDescent="0.15">
      <c r="A236" s="12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3"/>
      <c r="O236" s="4"/>
    </row>
    <row r="237" spans="1:15" x14ac:dyDescent="0.15">
      <c r="A237" s="12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3"/>
      <c r="O237" s="4"/>
    </row>
    <row r="238" spans="1:15" x14ac:dyDescent="0.15">
      <c r="A238" s="12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3"/>
      <c r="O238" s="4"/>
    </row>
    <row r="239" spans="1:15" x14ac:dyDescent="0.15">
      <c r="A239" s="12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3"/>
      <c r="O239" s="4"/>
    </row>
    <row r="240" spans="1:15" x14ac:dyDescent="0.15">
      <c r="A240" s="12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3"/>
      <c r="O240" s="4"/>
    </row>
    <row r="241" spans="1:15" x14ac:dyDescent="0.15">
      <c r="A241" s="12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3"/>
      <c r="O241" s="4"/>
    </row>
    <row r="242" spans="1:15" x14ac:dyDescent="0.15">
      <c r="A242" s="12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3"/>
      <c r="O242" s="4"/>
    </row>
    <row r="243" spans="1:15" x14ac:dyDescent="0.15">
      <c r="A243" s="12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3"/>
      <c r="O243" s="4"/>
    </row>
    <row r="244" spans="1:15" x14ac:dyDescent="0.15">
      <c r="A244" s="12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3"/>
      <c r="O244" s="4"/>
    </row>
    <row r="245" spans="1:15" x14ac:dyDescent="0.15">
      <c r="A245" s="12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3"/>
      <c r="O245" s="4"/>
    </row>
    <row r="246" spans="1:15" x14ac:dyDescent="0.15">
      <c r="A246" s="12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3"/>
      <c r="O246" s="4"/>
    </row>
    <row r="247" spans="1:15" x14ac:dyDescent="0.15">
      <c r="A247" s="12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3"/>
      <c r="O247" s="4"/>
    </row>
    <row r="248" spans="1:15" x14ac:dyDescent="0.15">
      <c r="A248" s="12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3"/>
      <c r="O248" s="4"/>
    </row>
  </sheetData>
  <dataConsolidate/>
  <mergeCells count="1">
    <mergeCell ref="L9:P14"/>
  </mergeCells>
  <phoneticPr fontId="1"/>
  <hyperlinks>
    <hyperlink ref="B10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A20:A68</xm:sqref>
        </x14:dataValidation>
        <x14:dataValidation type="list" allowBlank="1" showInputMessage="1" showErrorMessage="1">
          <x14:formula1>
            <xm:f>LISTBOX_DATA!$C$1:$C$5</xm:f>
          </x14:formula1>
          <xm:sqref>E20:E91</xm:sqref>
        </x14:dataValidation>
        <x14:dataValidation type="list" allowBlank="1" showInputMessage="1" showErrorMessage="1">
          <x14:formula1>
            <xm:f>LISTBOX_DATA!$B$1:$B$12</xm:f>
          </x14:formula1>
          <xm:sqref>D20:D68</xm:sqref>
        </x14:dataValidation>
        <x14:dataValidation type="list" allowBlank="1" showInputMessage="1" showErrorMessage="1">
          <x14:formula1>
            <xm:f>LISTBOX_DATA!$D$1:$D$5</xm:f>
          </x14:formula1>
          <xm:sqref>H20:H91</xm:sqref>
        </x14:dataValidation>
        <x14:dataValidation type="list" allowBlank="1" showInputMessage="1" showErrorMessage="1">
          <x14:formula1>
            <xm:f>LISTBOX_DATA!$E$1:$E$4</xm:f>
          </x14:formula1>
          <xm:sqref>I20:I91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59999389629810485"/>
    <pageSetUpPr fitToPage="1"/>
  </sheetPr>
  <dimension ref="A1:P209"/>
  <sheetViews>
    <sheetView zoomScaleNormal="100" workbookViewId="0">
      <selection activeCell="B15" sqref="B15"/>
    </sheetView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bestFit="1" customWidth="1"/>
    <col min="4" max="4" width="12.375" style="1" customWidth="1"/>
    <col min="5" max="5" width="15.5" style="1" customWidth="1"/>
    <col min="6" max="6" width="13.125" style="1" bestFit="1" customWidth="1"/>
    <col min="7" max="7" width="16.75" style="1" customWidth="1"/>
    <col min="8" max="8" width="14.625" style="1" bestFit="1" customWidth="1"/>
    <col min="9" max="9" width="13.5" style="1" bestFit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bestFit="1" customWidth="1"/>
    <col min="15" max="15" width="14.75" style="1" bestFit="1" customWidth="1"/>
    <col min="16" max="16" width="23.875" style="1" customWidth="1"/>
    <col min="17" max="16384" width="9" style="1"/>
  </cols>
  <sheetData>
    <row r="1" spans="1:16" s="35" customFormat="1" ht="31.5" x14ac:dyDescent="0.15">
      <c r="A1" s="34" t="s">
        <v>108</v>
      </c>
      <c r="N1" s="36"/>
    </row>
    <row r="2" spans="1:16" s="35" customFormat="1" x14ac:dyDescent="0.15">
      <c r="A2" s="37" t="s">
        <v>67</v>
      </c>
      <c r="N2" s="38"/>
    </row>
    <row r="3" spans="1:16" s="35" customFormat="1" x14ac:dyDescent="0.15">
      <c r="A3" s="37" t="s">
        <v>67</v>
      </c>
      <c r="N3" s="38"/>
    </row>
    <row r="4" spans="1:16" s="35" customFormat="1" x14ac:dyDescent="0.15">
      <c r="A4" s="37" t="s">
        <v>107</v>
      </c>
      <c r="N4" s="38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0</v>
      </c>
      <c r="B9" s="1" t="s">
        <v>262</v>
      </c>
      <c r="D9" s="5" t="s">
        <v>73</v>
      </c>
      <c r="E9" s="20">
        <f>E13-SUM(E10:E12)</f>
        <v>10</v>
      </c>
      <c r="L9" s="57"/>
      <c r="M9" s="57"/>
      <c r="N9" s="57"/>
      <c r="O9" s="57"/>
      <c r="P9" s="57"/>
    </row>
    <row r="10" spans="1:16" x14ac:dyDescent="0.15">
      <c r="A10" s="5" t="s">
        <v>11</v>
      </c>
      <c r="B10" s="30" t="s">
        <v>105</v>
      </c>
      <c r="D10" s="5" t="s">
        <v>4</v>
      </c>
      <c r="E10" s="22">
        <f>COUNTIF(TestScriptTable[Result],"Passed")</f>
        <v>0</v>
      </c>
      <c r="L10" s="57"/>
      <c r="M10" s="57"/>
      <c r="N10" s="57"/>
      <c r="O10" s="57"/>
      <c r="P10" s="57"/>
    </row>
    <row r="11" spans="1:16" x14ac:dyDescent="0.15">
      <c r="A11" s="5" t="s">
        <v>80</v>
      </c>
      <c r="B11" s="1">
        <v>1366</v>
      </c>
      <c r="D11" s="5" t="s">
        <v>5</v>
      </c>
      <c r="E11" s="21">
        <f>COUNTIF(TestScriptTable[Result],"Failed")</f>
        <v>0</v>
      </c>
      <c r="L11" s="57"/>
      <c r="M11" s="57"/>
      <c r="N11" s="57"/>
      <c r="O11" s="57"/>
      <c r="P11" s="57"/>
    </row>
    <row r="12" spans="1:16" x14ac:dyDescent="0.15">
      <c r="A12" s="5" t="s">
        <v>81</v>
      </c>
      <c r="B12" s="1">
        <v>768</v>
      </c>
      <c r="D12" s="5" t="s">
        <v>8</v>
      </c>
      <c r="E12" s="19">
        <f>COUNTIF(TestScriptTable[Result],"Skipped*")</f>
        <v>0</v>
      </c>
      <c r="L12" s="57"/>
      <c r="M12" s="57"/>
      <c r="N12" s="57"/>
      <c r="O12" s="57"/>
      <c r="P12" s="57"/>
    </row>
    <row r="13" spans="1:16" x14ac:dyDescent="0.15">
      <c r="A13" s="5" t="s">
        <v>29</v>
      </c>
      <c r="B13" s="1" t="s">
        <v>106</v>
      </c>
      <c r="D13" s="5" t="s">
        <v>6</v>
      </c>
      <c r="E13" s="6">
        <f>COUNTA(TestScriptTable[runTarget])+COUNTBLANK(TestScriptTable[runTarget])</f>
        <v>10</v>
      </c>
      <c r="L13" s="57"/>
      <c r="M13" s="57"/>
      <c r="N13" s="57"/>
      <c r="O13" s="57"/>
      <c r="P13" s="57"/>
    </row>
    <row r="14" spans="1:16" x14ac:dyDescent="0.15">
      <c r="A14" s="5" t="s">
        <v>75</v>
      </c>
      <c r="B14" s="1" t="s">
        <v>76</v>
      </c>
      <c r="D14" s="5" t="s">
        <v>7</v>
      </c>
      <c r="E14" s="7">
        <f>(E13-E9)/E13</f>
        <v>0</v>
      </c>
      <c r="L14" s="57"/>
      <c r="M14" s="57"/>
      <c r="N14" s="57"/>
      <c r="O14" s="57"/>
      <c r="P14" s="57"/>
    </row>
    <row r="15" spans="1:16" x14ac:dyDescent="0.15">
      <c r="A15" s="5" t="s">
        <v>245</v>
      </c>
      <c r="B15" s="1" t="s">
        <v>79</v>
      </c>
    </row>
    <row r="16" spans="1:16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4" t="s">
        <v>116</v>
      </c>
      <c r="B18" s="44"/>
      <c r="C18" s="45"/>
      <c r="D18" s="31" t="s">
        <v>21</v>
      </c>
      <c r="E18" s="31"/>
      <c r="F18" s="31"/>
      <c r="G18" s="31"/>
      <c r="H18" s="28" t="s">
        <v>74</v>
      </c>
      <c r="I18" s="32"/>
      <c r="J18" s="32"/>
      <c r="K18" s="32"/>
      <c r="L18" s="33" t="s">
        <v>32</v>
      </c>
      <c r="M18" s="33"/>
      <c r="N18" s="33"/>
      <c r="O18" s="33"/>
      <c r="P18" s="33"/>
    </row>
    <row r="19" spans="1:16" s="15" customFormat="1" ht="15.75" x14ac:dyDescent="0.1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 x14ac:dyDescent="0.15">
      <c r="A20" s="24"/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 x14ac:dyDescent="0.15">
      <c r="A21" s="24"/>
      <c r="C21" s="13"/>
      <c r="D21" s="4"/>
      <c r="E21" s="4"/>
      <c r="F21" s="4"/>
      <c r="G21" s="4"/>
      <c r="H21" s="4"/>
      <c r="I21" s="4"/>
      <c r="J21" s="4"/>
      <c r="K21" s="4"/>
      <c r="L21" s="4"/>
      <c r="M21"/>
      <c r="N21" s="3"/>
      <c r="O21" s="4"/>
    </row>
    <row r="22" spans="1:16" ht="21.75" customHeight="1" x14ac:dyDescent="0.15">
      <c r="A22" s="24"/>
      <c r="C22" s="13"/>
      <c r="D22" s="4"/>
      <c r="E22" s="4"/>
      <c r="F22" s="4"/>
      <c r="G22" s="4"/>
      <c r="H22" s="4"/>
      <c r="I22" s="4"/>
      <c r="J22" s="4"/>
      <c r="K22" s="4"/>
      <c r="L22" s="4"/>
      <c r="M22"/>
      <c r="N22" s="3"/>
      <c r="O22" s="4"/>
    </row>
    <row r="23" spans="1:16" ht="21.75" customHeight="1" x14ac:dyDescent="0.15">
      <c r="A23" s="24"/>
      <c r="C23" s="13"/>
      <c r="D23" s="4"/>
      <c r="E23" s="4"/>
      <c r="F23" s="4"/>
      <c r="G23" s="4"/>
      <c r="H23" s="4"/>
      <c r="I23" s="4"/>
      <c r="J23" s="4"/>
      <c r="K23" s="4"/>
      <c r="L23" s="4"/>
      <c r="M23"/>
      <c r="N23" s="3"/>
      <c r="O23" s="4"/>
    </row>
    <row r="24" spans="1:16" ht="21.75" customHeight="1" x14ac:dyDescent="0.15">
      <c r="A24" s="24"/>
      <c r="C24" s="13"/>
      <c r="D24" s="4"/>
      <c r="E24" s="4"/>
      <c r="F24" s="4"/>
      <c r="G24" s="4"/>
      <c r="H24" s="4"/>
      <c r="I24" s="4"/>
      <c r="J24" s="4"/>
      <c r="K24" s="4"/>
      <c r="L24" s="4"/>
      <c r="M24"/>
      <c r="N24" s="3"/>
      <c r="O24" s="4"/>
    </row>
    <row r="25" spans="1:16" ht="21.75" customHeight="1" x14ac:dyDescent="0.15">
      <c r="A25" s="24"/>
      <c r="C25" s="13"/>
      <c r="D25" s="4"/>
      <c r="E25" s="4"/>
      <c r="F25" s="4"/>
      <c r="G25" s="4"/>
      <c r="H25" s="4"/>
      <c r="I25" s="4"/>
      <c r="J25" s="4"/>
      <c r="K25" s="4"/>
      <c r="L25" s="4"/>
      <c r="M25"/>
      <c r="N25" s="3"/>
      <c r="O25" s="4"/>
    </row>
    <row r="26" spans="1:16" ht="21.75" customHeight="1" x14ac:dyDescent="0.15">
      <c r="A26" s="24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 x14ac:dyDescent="0.15">
      <c r="A27" s="24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 x14ac:dyDescent="0.15">
      <c r="A28" s="24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 x14ac:dyDescent="0.15">
      <c r="A29" s="24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6" ht="21.75" customHeight="1" x14ac:dyDescent="0.15">
      <c r="A30" s="24"/>
      <c r="C30" s="13"/>
      <c r="D30" s="4"/>
      <c r="E30" s="4"/>
      <c r="F30" s="4"/>
      <c r="G30" s="4"/>
      <c r="H30" s="4"/>
      <c r="I30" s="4"/>
      <c r="J30" s="4"/>
      <c r="K30" s="4"/>
      <c r="L30" s="4"/>
      <c r="M30" s="29"/>
      <c r="N30" s="3"/>
      <c r="O30" s="4"/>
    </row>
    <row r="31" spans="1:16" ht="21.75" customHeight="1" x14ac:dyDescent="0.15">
      <c r="A31" s="24"/>
      <c r="C31" s="13"/>
      <c r="D31" s="4"/>
      <c r="E31" s="4"/>
      <c r="F31" s="4"/>
      <c r="G31" s="4"/>
      <c r="H31" s="4"/>
      <c r="I31" s="4"/>
      <c r="J31" s="4"/>
      <c r="K31" s="4"/>
      <c r="L31" s="4"/>
      <c r="M31" s="29"/>
      <c r="N31" s="3"/>
      <c r="O31" s="4"/>
    </row>
    <row r="32" spans="1:16" ht="21.75" customHeight="1" x14ac:dyDescent="0.15">
      <c r="A32" s="24"/>
      <c r="C32" s="13"/>
      <c r="D32" s="4"/>
      <c r="E32" s="4"/>
      <c r="F32" s="4"/>
      <c r="G32" s="4"/>
      <c r="H32" s="4"/>
      <c r="I32" s="4"/>
      <c r="J32" s="4"/>
      <c r="K32" s="4"/>
      <c r="L32" s="4"/>
      <c r="M32" s="29"/>
      <c r="N32" s="3"/>
      <c r="O32" s="4"/>
    </row>
    <row r="33" spans="1:15" ht="21.75" customHeight="1" x14ac:dyDescent="0.15">
      <c r="A33" s="24"/>
      <c r="C33" s="13"/>
      <c r="D33" s="4"/>
      <c r="E33" s="4"/>
      <c r="F33" s="4"/>
      <c r="G33" s="4"/>
      <c r="H33" s="4"/>
      <c r="I33" s="4"/>
      <c r="J33" s="4"/>
      <c r="K33" s="4"/>
      <c r="L33" s="4"/>
      <c r="M33" s="29"/>
      <c r="N33" s="3"/>
      <c r="O33" s="4"/>
    </row>
    <row r="34" spans="1:15" ht="21.75" customHeight="1" x14ac:dyDescent="0.15">
      <c r="A34" s="24"/>
      <c r="C34" s="13"/>
      <c r="D34" s="4"/>
      <c r="E34" s="4"/>
      <c r="F34" s="4"/>
      <c r="G34" s="4"/>
      <c r="H34" s="4"/>
      <c r="I34" s="4"/>
      <c r="J34" s="4"/>
      <c r="K34" s="4"/>
      <c r="L34" s="4"/>
      <c r="M34" s="29"/>
      <c r="N34" s="3"/>
      <c r="O34" s="4"/>
    </row>
    <row r="35" spans="1:15" ht="21.75" customHeight="1" x14ac:dyDescent="0.15">
      <c r="A35" s="24"/>
      <c r="C35" s="13"/>
      <c r="D35" s="4"/>
      <c r="E35" s="4"/>
      <c r="F35" s="4"/>
      <c r="G35" s="4"/>
      <c r="H35" s="4"/>
      <c r="I35" s="4"/>
      <c r="J35" s="4"/>
      <c r="K35" s="4"/>
      <c r="L35" s="4"/>
      <c r="M35" s="29"/>
      <c r="N35" s="3"/>
      <c r="O35" s="4"/>
    </row>
    <row r="36" spans="1:15" ht="21.75" customHeight="1" x14ac:dyDescent="0.15">
      <c r="A36" s="24"/>
      <c r="C36" s="13"/>
      <c r="D36" s="4"/>
      <c r="E36" s="4"/>
      <c r="F36" s="4"/>
      <c r="G36" s="4"/>
      <c r="H36" s="4"/>
      <c r="I36" s="4"/>
      <c r="J36" s="4"/>
      <c r="K36" s="4"/>
      <c r="L36" s="4"/>
      <c r="M36" s="29"/>
      <c r="N36" s="3"/>
      <c r="O36" s="4"/>
    </row>
    <row r="37" spans="1:15" ht="21.75" customHeight="1" x14ac:dyDescent="0.15">
      <c r="A37" s="24"/>
      <c r="C37" s="13"/>
      <c r="D37" s="4"/>
      <c r="E37" s="4"/>
      <c r="F37" s="4"/>
      <c r="G37" s="23"/>
      <c r="H37" s="4"/>
      <c r="I37" s="4"/>
      <c r="J37" s="4"/>
      <c r="K37" s="4"/>
      <c r="L37" s="4"/>
      <c r="M37" s="29"/>
      <c r="N37" s="3"/>
      <c r="O37" s="4"/>
    </row>
    <row r="38" spans="1:15" ht="21.75" customHeight="1" x14ac:dyDescent="0.15">
      <c r="A38" s="24"/>
      <c r="C38" s="13"/>
      <c r="D38" s="4"/>
      <c r="E38" s="4"/>
      <c r="F38" s="4"/>
      <c r="G38" s="4"/>
      <c r="H38" s="4"/>
      <c r="I38" s="4"/>
      <c r="J38" s="4"/>
      <c r="K38" s="4"/>
      <c r="L38" s="4"/>
      <c r="M38" s="29"/>
      <c r="N38" s="3"/>
      <c r="O38" s="4"/>
    </row>
    <row r="39" spans="1:15" ht="21.75" customHeight="1" x14ac:dyDescent="0.15">
      <c r="A39" s="24"/>
      <c r="C39" s="13"/>
      <c r="D39" s="4"/>
      <c r="E39" s="4"/>
      <c r="F39" s="4"/>
      <c r="G39" s="4"/>
      <c r="H39" s="4"/>
      <c r="I39" s="4"/>
      <c r="J39" s="4"/>
      <c r="K39" s="4"/>
      <c r="L39" s="4"/>
      <c r="M39" s="29"/>
      <c r="N39" s="3"/>
      <c r="O39" s="4"/>
    </row>
    <row r="40" spans="1:15" ht="21.75" customHeight="1" x14ac:dyDescent="0.15">
      <c r="A40" s="24"/>
      <c r="C40" s="13"/>
      <c r="D40" s="4"/>
      <c r="E40" s="4"/>
      <c r="F40" s="4"/>
      <c r="G40" s="25"/>
      <c r="H40" s="4"/>
      <c r="I40" s="4"/>
      <c r="J40" s="4"/>
      <c r="K40" s="4"/>
      <c r="L40" s="4"/>
      <c r="M40" s="29"/>
      <c r="N40" s="3"/>
      <c r="O40" s="4"/>
    </row>
    <row r="41" spans="1:15" ht="21.75" customHeight="1" x14ac:dyDescent="0.15">
      <c r="A41" s="24"/>
      <c r="C41" s="13"/>
      <c r="D41" s="4"/>
      <c r="E41" s="4"/>
      <c r="F41" s="4"/>
      <c r="G41" s="25"/>
      <c r="H41" s="4"/>
      <c r="I41" s="4"/>
      <c r="J41" s="4"/>
      <c r="K41" s="4"/>
      <c r="L41" s="4"/>
      <c r="M41" s="29"/>
      <c r="N41" s="3"/>
      <c r="O41" s="4"/>
    </row>
    <row r="42" spans="1:15" ht="21.75" customHeight="1" x14ac:dyDescent="0.15">
      <c r="A42" s="24"/>
      <c r="C42" s="13"/>
      <c r="D42" s="4"/>
      <c r="E42" s="4"/>
      <c r="F42" s="4"/>
      <c r="G42" s="25"/>
      <c r="H42" s="4"/>
      <c r="I42" s="4"/>
      <c r="J42" s="4"/>
      <c r="K42" s="4"/>
      <c r="L42" s="4"/>
      <c r="M42" s="29"/>
      <c r="N42" s="3"/>
      <c r="O42" s="4"/>
    </row>
    <row r="43" spans="1:15" ht="21.75" customHeight="1" x14ac:dyDescent="0.15">
      <c r="A43" s="24"/>
      <c r="C43" s="13"/>
      <c r="D43" s="4"/>
      <c r="E43" s="4"/>
      <c r="F43" s="4"/>
      <c r="G43" s="26"/>
      <c r="H43" s="4"/>
      <c r="I43" s="4"/>
      <c r="J43" s="4"/>
      <c r="K43" s="4"/>
      <c r="L43" s="4"/>
      <c r="M43" s="29"/>
      <c r="N43" s="3"/>
      <c r="O43" s="4"/>
    </row>
    <row r="44" spans="1:15" ht="21.75" customHeight="1" x14ac:dyDescent="0.15">
      <c r="A44" s="24"/>
      <c r="C44" s="13"/>
      <c r="D44" s="4"/>
      <c r="E44" s="4"/>
      <c r="F44" s="4"/>
      <c r="G44" s="26"/>
      <c r="H44" s="4"/>
      <c r="I44" s="4"/>
      <c r="J44" s="4"/>
      <c r="K44" s="4"/>
      <c r="L44" s="4"/>
      <c r="M44" s="29"/>
      <c r="N44" s="3"/>
      <c r="O44" s="4"/>
    </row>
    <row r="45" spans="1:15" ht="21.75" customHeight="1" x14ac:dyDescent="0.15">
      <c r="A45" s="24"/>
      <c r="C45" s="13"/>
      <c r="D45" s="4"/>
      <c r="E45" s="4"/>
      <c r="F45" s="4"/>
      <c r="G45" s="26"/>
      <c r="H45" s="4"/>
      <c r="I45" s="4"/>
      <c r="J45" s="4"/>
      <c r="K45" s="4"/>
      <c r="L45" s="4"/>
      <c r="M45" s="29"/>
      <c r="N45" s="3"/>
      <c r="O45" s="4"/>
    </row>
    <row r="46" spans="1:15" ht="21.75" customHeight="1" x14ac:dyDescent="0.15">
      <c r="A46" s="24"/>
      <c r="C46" s="13"/>
      <c r="D46" s="4"/>
      <c r="E46" s="4"/>
      <c r="F46" s="4"/>
      <c r="G46" s="26"/>
      <c r="H46" s="4"/>
      <c r="I46" s="4"/>
      <c r="J46" s="4"/>
      <c r="K46" s="4"/>
      <c r="L46" s="4"/>
      <c r="M46" s="29"/>
      <c r="N46" s="3"/>
      <c r="O46" s="4"/>
    </row>
    <row r="47" spans="1:15" ht="21.75" customHeight="1" x14ac:dyDescent="0.15">
      <c r="A47" s="24"/>
      <c r="C47" s="13"/>
      <c r="D47" s="4"/>
      <c r="E47" s="4"/>
      <c r="F47" s="4"/>
      <c r="G47" s="25"/>
      <c r="H47" s="4"/>
      <c r="I47" s="4"/>
      <c r="J47" s="4"/>
      <c r="K47" s="4"/>
      <c r="L47" s="4"/>
      <c r="M47" s="29"/>
      <c r="N47" s="3"/>
      <c r="O47" s="4"/>
    </row>
    <row r="48" spans="1:15" ht="21.75" customHeight="1" x14ac:dyDescent="0.15">
      <c r="A48" s="24"/>
      <c r="C48" s="13"/>
      <c r="D48" s="4"/>
      <c r="E48" s="4"/>
      <c r="F48" s="4"/>
      <c r="G48" s="4"/>
      <c r="H48" s="4"/>
      <c r="I48" s="4"/>
      <c r="J48" s="4"/>
      <c r="K48" s="4"/>
      <c r="L48" s="4"/>
      <c r="M48" s="29"/>
      <c r="N48" s="3"/>
      <c r="O48" s="4"/>
    </row>
    <row r="49" spans="1:15" ht="21.75" customHeight="1" x14ac:dyDescent="0.15">
      <c r="A49" s="24"/>
      <c r="C49" s="13"/>
      <c r="D49" s="4"/>
      <c r="E49" s="4"/>
      <c r="F49" s="4"/>
      <c r="G49" s="4"/>
      <c r="H49" s="4"/>
      <c r="I49" s="4"/>
      <c r="J49" s="4"/>
      <c r="K49" s="4"/>
      <c r="L49" s="4"/>
      <c r="M49" s="29"/>
      <c r="N49" s="3"/>
      <c r="O49" s="4"/>
    </row>
    <row r="50" spans="1:15" ht="21.75" customHeight="1" x14ac:dyDescent="0.15">
      <c r="A50" s="24"/>
      <c r="C50" s="13"/>
      <c r="D50" s="4"/>
      <c r="E50" s="4"/>
      <c r="F50" s="4"/>
      <c r="G50" s="4"/>
      <c r="H50" s="4"/>
      <c r="I50" s="4"/>
      <c r="J50" s="4"/>
      <c r="K50" s="4"/>
      <c r="L50" s="4"/>
      <c r="M50" s="29"/>
      <c r="N50" s="3"/>
      <c r="O50" s="4"/>
    </row>
    <row r="51" spans="1:15" ht="21.75" customHeight="1" x14ac:dyDescent="0.15">
      <c r="A51" s="24"/>
      <c r="C51" s="13"/>
      <c r="D51" s="4"/>
      <c r="E51" s="4"/>
      <c r="F51" s="4"/>
      <c r="G51" s="4"/>
      <c r="H51" s="4"/>
      <c r="I51" s="4"/>
      <c r="J51" s="4"/>
      <c r="K51" s="4"/>
      <c r="L51" s="4"/>
      <c r="M51" s="29"/>
      <c r="N51" s="3"/>
      <c r="O51" s="4"/>
    </row>
    <row r="52" spans="1:15" ht="21.75" customHeight="1" x14ac:dyDescent="0.15">
      <c r="A52" s="24"/>
      <c r="C52" s="13"/>
      <c r="D52" s="4"/>
      <c r="E52" s="4"/>
      <c r="F52" s="4"/>
      <c r="G52" s="25"/>
      <c r="H52" s="4"/>
      <c r="I52" s="4"/>
      <c r="J52" s="4"/>
      <c r="K52" s="4"/>
      <c r="L52" s="4"/>
      <c r="M52" s="29"/>
      <c r="N52" s="3"/>
      <c r="O52" s="4"/>
    </row>
    <row r="53" spans="1:15" ht="21.75" customHeight="1" x14ac:dyDescent="0.15">
      <c r="A53" s="24"/>
      <c r="C53" s="13"/>
      <c r="D53" s="4"/>
      <c r="E53" s="4"/>
      <c r="F53" s="4"/>
      <c r="G53" s="4"/>
      <c r="H53" s="4"/>
      <c r="I53" s="4"/>
      <c r="J53" s="4"/>
      <c r="K53" s="4"/>
      <c r="L53" s="4"/>
      <c r="M53" s="29"/>
      <c r="N53" s="3"/>
      <c r="O53" s="4"/>
    </row>
    <row r="54" spans="1:15" ht="21.75" customHeight="1" x14ac:dyDescent="0.15">
      <c r="A54" s="24"/>
      <c r="C54" s="13"/>
      <c r="D54" s="4"/>
      <c r="E54" s="4"/>
      <c r="F54" s="4"/>
      <c r="G54" s="4"/>
      <c r="H54" s="4"/>
      <c r="I54" s="4"/>
      <c r="J54" s="4"/>
      <c r="K54" s="4"/>
      <c r="L54" s="4"/>
      <c r="M54" s="29"/>
      <c r="N54" s="3"/>
      <c r="O54" s="4"/>
    </row>
    <row r="55" spans="1:15" ht="21.75" customHeight="1" x14ac:dyDescent="0.15">
      <c r="A55" s="24"/>
      <c r="C55" s="13"/>
      <c r="D55" s="4"/>
      <c r="E55" s="4"/>
      <c r="F55" s="4"/>
      <c r="G55" s="4"/>
      <c r="H55" s="4"/>
      <c r="I55" s="4"/>
      <c r="J55" s="4"/>
      <c r="K55" s="4"/>
      <c r="L55" s="4"/>
      <c r="M55" s="29"/>
      <c r="N55" s="3"/>
      <c r="O55" s="4"/>
    </row>
    <row r="56" spans="1:15" ht="21.75" customHeight="1" x14ac:dyDescent="0.15">
      <c r="A56" s="24"/>
      <c r="C56" s="13"/>
      <c r="D56" s="4"/>
      <c r="E56" s="4"/>
      <c r="F56" s="4"/>
      <c r="G56" s="4"/>
      <c r="H56" s="4"/>
      <c r="I56" s="4"/>
      <c r="J56" s="4"/>
      <c r="K56" s="4"/>
      <c r="L56" s="4"/>
      <c r="M56" s="29"/>
      <c r="N56" s="3"/>
      <c r="O56" s="4"/>
    </row>
    <row r="57" spans="1:15" ht="21.75" customHeight="1" x14ac:dyDescent="0.15">
      <c r="A57" s="24"/>
      <c r="C57" s="13"/>
      <c r="D57" s="4"/>
      <c r="E57" s="4"/>
      <c r="F57" s="4"/>
      <c r="G57" s="4"/>
      <c r="H57" s="4"/>
      <c r="I57" s="4"/>
      <c r="J57" s="4"/>
      <c r="K57" s="4"/>
      <c r="L57" s="4"/>
      <c r="M57" s="29"/>
      <c r="N57" s="3"/>
      <c r="O57" s="4"/>
    </row>
    <row r="58" spans="1:15" ht="21.75" customHeight="1" x14ac:dyDescent="0.15">
      <c r="A58" s="24"/>
      <c r="C58" s="13"/>
      <c r="D58" s="4"/>
      <c r="E58" s="4"/>
      <c r="F58" s="4"/>
      <c r="G58" s="4"/>
      <c r="H58" s="4"/>
      <c r="I58" s="4"/>
      <c r="J58" s="4"/>
      <c r="K58" s="4"/>
      <c r="L58" s="4"/>
      <c r="M58" s="29"/>
      <c r="N58" s="3"/>
      <c r="O58" s="4"/>
    </row>
    <row r="59" spans="1:15" ht="21.75" customHeight="1" x14ac:dyDescent="0.15">
      <c r="A59" s="24"/>
      <c r="C59" s="13"/>
      <c r="D59" s="4"/>
      <c r="E59" s="4"/>
      <c r="F59" s="4"/>
      <c r="G59" s="4"/>
      <c r="H59" s="4"/>
      <c r="I59" s="4"/>
      <c r="J59" s="4"/>
      <c r="K59" s="4"/>
      <c r="L59" s="4"/>
      <c r="M59" s="29"/>
      <c r="N59" s="3"/>
      <c r="O59" s="4"/>
    </row>
    <row r="60" spans="1:15" ht="21.75" customHeight="1" x14ac:dyDescent="0.15">
      <c r="A60" s="24"/>
      <c r="C60" s="13"/>
      <c r="D60" s="4"/>
      <c r="E60" s="4"/>
      <c r="F60" s="4"/>
      <c r="G60" s="4"/>
      <c r="H60" s="4"/>
      <c r="I60" s="4"/>
      <c r="J60" s="4"/>
      <c r="K60" s="4"/>
      <c r="L60" s="4"/>
      <c r="M60" s="29"/>
      <c r="N60" s="3"/>
      <c r="O60" s="4"/>
    </row>
    <row r="61" spans="1:15" ht="21.75" customHeight="1" x14ac:dyDescent="0.15">
      <c r="A61" s="24"/>
      <c r="C61" s="13"/>
      <c r="D61" s="4"/>
      <c r="E61" s="4"/>
      <c r="F61" s="4"/>
      <c r="G61" s="4"/>
      <c r="H61" s="4"/>
      <c r="I61" s="4"/>
      <c r="J61" s="4"/>
      <c r="K61" s="27"/>
      <c r="L61" s="4"/>
      <c r="M61" s="29"/>
      <c r="N61" s="3"/>
      <c r="O61" s="4"/>
    </row>
    <row r="62" spans="1:15" ht="21.75" customHeight="1" x14ac:dyDescent="0.15">
      <c r="A62" s="24"/>
      <c r="C62" s="13"/>
      <c r="D62" s="4"/>
      <c r="E62" s="4"/>
      <c r="F62" s="4"/>
      <c r="G62" s="4"/>
      <c r="H62" s="4"/>
      <c r="I62" s="4"/>
      <c r="J62" s="4"/>
      <c r="K62" s="4"/>
      <c r="L62" s="4"/>
      <c r="M62" s="29"/>
      <c r="N62" s="3"/>
      <c r="O62" s="4"/>
    </row>
    <row r="63" spans="1:15" ht="21.75" customHeight="1" x14ac:dyDescent="0.15">
      <c r="A63" s="24"/>
      <c r="C63" s="13"/>
      <c r="D63" s="4"/>
      <c r="E63" s="4"/>
      <c r="F63" s="4"/>
      <c r="G63" s="4"/>
      <c r="H63" s="4"/>
      <c r="I63" s="4"/>
      <c r="J63" s="4"/>
      <c r="K63" s="4"/>
      <c r="L63" s="4"/>
      <c r="M63" s="29"/>
      <c r="N63" s="3"/>
      <c r="O63" s="4"/>
    </row>
    <row r="64" spans="1:15" ht="21.75" customHeight="1" x14ac:dyDescent="0.15">
      <c r="A64" s="24"/>
      <c r="C64" s="13"/>
      <c r="D64" s="4"/>
      <c r="E64" s="4"/>
      <c r="F64" s="4"/>
      <c r="G64" s="4"/>
      <c r="H64" s="4"/>
      <c r="I64" s="4"/>
      <c r="J64" s="4"/>
      <c r="K64" s="4"/>
      <c r="L64" s="4"/>
      <c r="M64" s="29"/>
      <c r="N64" s="3"/>
      <c r="O64" s="4"/>
    </row>
    <row r="65" spans="1:15" ht="21.75" customHeight="1" x14ac:dyDescent="0.15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3"/>
      <c r="N65" s="3"/>
      <c r="O65" s="4"/>
    </row>
    <row r="66" spans="1:15" ht="21.75" customHeight="1" x14ac:dyDescent="0.15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3"/>
      <c r="N66" s="3"/>
      <c r="O66" s="4"/>
    </row>
    <row r="67" spans="1:15" ht="21.75" customHeight="1" x14ac:dyDescent="0.15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 x14ac:dyDescent="0.15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 x14ac:dyDescent="0.15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 x14ac:dyDescent="0.15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 x14ac:dyDescent="0.15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 x14ac:dyDescent="0.15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 x14ac:dyDescent="0.15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 x14ac:dyDescent="0.15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 x14ac:dyDescent="0.15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 x14ac:dyDescent="0.15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 x14ac:dyDescent="0.15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 x14ac:dyDescent="0.15">
      <c r="A81" s="11"/>
      <c r="C81" s="13"/>
      <c r="D81" s="4"/>
      <c r="E81" s="4"/>
      <c r="F81" s="4"/>
      <c r="G81" s="4"/>
      <c r="H81" s="4"/>
      <c r="I81" s="4"/>
      <c r="J81" s="4"/>
      <c r="K81" s="18"/>
      <c r="L81" s="18"/>
      <c r="M81" s="4"/>
      <c r="N81" s="3"/>
      <c r="O81" s="4"/>
    </row>
    <row r="82" spans="1:15" ht="21.75" customHeight="1" x14ac:dyDescent="0.15">
      <c r="A82" s="11"/>
      <c r="C82" s="13"/>
      <c r="D82" s="4"/>
      <c r="E82" s="4"/>
      <c r="F82" s="4"/>
      <c r="G82" s="4"/>
      <c r="H82" s="4"/>
      <c r="I82" s="4"/>
      <c r="J82" s="4"/>
      <c r="K82" s="18"/>
      <c r="L82" s="18"/>
      <c r="M82" s="4"/>
      <c r="N82" s="3"/>
      <c r="O82" s="4"/>
    </row>
    <row r="83" spans="1:15" ht="21.75" customHeight="1" x14ac:dyDescent="0.15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 x14ac:dyDescent="0.15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 x14ac:dyDescent="0.15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 x14ac:dyDescent="0.15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 x14ac:dyDescent="0.15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 x14ac:dyDescent="0.15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 x14ac:dyDescent="0.15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 x14ac:dyDescent="0.15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 x14ac:dyDescent="0.15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9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9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9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9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18"/>
      <c r="L97" s="18"/>
      <c r="M97" s="29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18"/>
      <c r="L98" s="18"/>
      <c r="M98" s="29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9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9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9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9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9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9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9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9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9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9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9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9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9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9"/>
      <c r="N112" s="3"/>
      <c r="O112" s="4"/>
    </row>
    <row r="113" spans="1:15" ht="21.75" customHeight="1" x14ac:dyDescent="0.15">
      <c r="A113" s="12"/>
      <c r="C113" s="13"/>
      <c r="D113" s="4"/>
      <c r="E113" s="4"/>
      <c r="F113" s="4"/>
      <c r="G113" s="4"/>
      <c r="H113" s="4"/>
      <c r="I113" s="4"/>
      <c r="J113" s="4"/>
      <c r="K113" s="18"/>
      <c r="L113" s="18"/>
      <c r="M113" s="29"/>
      <c r="N113" s="3"/>
      <c r="O113" s="4"/>
    </row>
    <row r="114" spans="1:15" ht="21.75" customHeight="1" x14ac:dyDescent="0.15">
      <c r="A114" s="12"/>
      <c r="C114" s="13"/>
      <c r="D114" s="4"/>
      <c r="E114" s="4"/>
      <c r="F114" s="4"/>
      <c r="G114" s="4"/>
      <c r="H114" s="4"/>
      <c r="I114" s="4"/>
      <c r="J114" s="4"/>
      <c r="K114" s="18"/>
      <c r="L114" s="18"/>
      <c r="M114" s="29"/>
      <c r="N114" s="3"/>
      <c r="O114" s="4"/>
    </row>
    <row r="115" spans="1:15" ht="21.75" customHeight="1" x14ac:dyDescent="0.15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9"/>
      <c r="N115" s="3"/>
      <c r="O115" s="4"/>
    </row>
    <row r="116" spans="1:15" ht="21.75" customHeight="1" x14ac:dyDescent="0.15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9"/>
      <c r="N116" s="3"/>
      <c r="O116" s="4"/>
    </row>
    <row r="117" spans="1:15" ht="21.75" customHeight="1" x14ac:dyDescent="0.15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9"/>
      <c r="N117" s="3"/>
      <c r="O117" s="4"/>
    </row>
    <row r="118" spans="1:15" ht="21.75" customHeight="1" x14ac:dyDescent="0.15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9"/>
      <c r="N118" s="3"/>
      <c r="O118" s="4"/>
    </row>
    <row r="119" spans="1:15" ht="21.75" customHeight="1" x14ac:dyDescent="0.15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9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9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9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9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9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9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9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9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9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9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18"/>
      <c r="L129" s="18"/>
      <c r="M129" s="29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18"/>
      <c r="L130" s="18"/>
      <c r="M130" s="29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9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9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9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9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9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9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9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9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9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9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9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9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9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9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18"/>
      <c r="L145" s="18"/>
      <c r="M145" s="29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18"/>
      <c r="L146" s="18"/>
      <c r="M146" s="29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9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9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9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9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9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9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9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9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9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9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9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9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9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9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18"/>
      <c r="L161" s="18"/>
      <c r="M161" s="29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18"/>
      <c r="L162" s="18"/>
      <c r="M162" s="29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9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9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9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9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9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9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9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9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9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9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9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9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9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9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18"/>
      <c r="L177" s="18"/>
      <c r="M177" s="29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18"/>
      <c r="L178" s="18"/>
      <c r="M178" s="29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9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9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9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9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9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9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9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9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9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9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9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9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9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9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18"/>
      <c r="L193" s="18"/>
      <c r="M193" s="29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18"/>
      <c r="L194" s="18"/>
      <c r="M194" s="29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9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9"/>
      <c r="N196" s="3"/>
      <c r="O196" s="4"/>
    </row>
    <row r="197" spans="1:15" x14ac:dyDescent="0.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 x14ac:dyDescent="0.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 x14ac:dyDescent="0.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 x14ac:dyDescent="0.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 x14ac:dyDescent="0.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 x14ac:dyDescent="0.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 x14ac:dyDescent="0.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 x14ac:dyDescent="0.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 x14ac:dyDescent="0.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 x14ac:dyDescent="0.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 x14ac:dyDescent="0.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 x14ac:dyDescent="0.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 x14ac:dyDescent="0.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LISTBOX_DATA!$F$1:$F$2</xm:f>
          </x14:formula1>
          <xm:sqref>B14:B15</xm:sqref>
        </x14:dataValidation>
        <x14:dataValidation type="list" allowBlank="1" showInputMessage="1" showErrorMessage="1">
          <x14:formula1>
            <xm:f>LISTBOX_DATA!$F$1:$F$2</xm:f>
          </x14:formula1>
          <xm:sqref>A20:A29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LISTBOX_DATA!$C$1:$C$5</xm:f>
          </x14:formula1>
          <xm:sqref>E21:E52</xm:sqref>
        </x14:dataValidation>
        <x14:dataValidation type="list" allowBlank="1" showInputMessage="1" showErrorMessage="1">
          <x14:formula1>
            <xm:f>LISTBOX_DATA!$B$1:$B$12</xm:f>
          </x14:formula1>
          <xm:sqref>D20:D29</xm:sqref>
        </x14:dataValidation>
        <x14:dataValidation type="list" allowBlank="1" showInputMessage="1" showErrorMessage="1">
          <x14:formula1>
            <xm:f>LISTBOX_DATA!$C$1:$C$5</xm:f>
          </x14:formula1>
          <xm:sqref>E20</xm:sqref>
        </x14:dataValidation>
        <x14:dataValidation type="list" allowBlank="1" showInputMessage="1" showErrorMessage="1">
          <x14:formula1>
            <xm:f>LISTBOX_DATA!$A$1:$A$6</xm:f>
          </x14:formula1>
          <xm:sqref>B9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59999389629810485"/>
    <pageSetUpPr fitToPage="1"/>
  </sheetPr>
  <dimension ref="A1:P193"/>
  <sheetViews>
    <sheetView tabSelected="1" zoomScaleNormal="100" workbookViewId="0">
      <selection activeCell="B33" sqref="B33"/>
    </sheetView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40" customFormat="1" ht="31.5" x14ac:dyDescent="0.15">
      <c r="A1" s="39" t="s">
        <v>246</v>
      </c>
      <c r="N1" s="41"/>
    </row>
    <row r="2" spans="1:16" s="40" customFormat="1" x14ac:dyDescent="0.15">
      <c r="A2" s="42" t="s">
        <v>111</v>
      </c>
      <c r="N2" s="43"/>
    </row>
    <row r="3" spans="1:16" s="40" customFormat="1" x14ac:dyDescent="0.15">
      <c r="A3" s="42" t="s">
        <v>110</v>
      </c>
      <c r="N3" s="43"/>
    </row>
    <row r="4" spans="1:16" s="40" customFormat="1" x14ac:dyDescent="0.15">
      <c r="A4" s="42" t="s">
        <v>112</v>
      </c>
      <c r="N4" s="43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264</v>
      </c>
      <c r="B9" s="1" t="s">
        <v>79</v>
      </c>
      <c r="D9" s="5" t="s">
        <v>73</v>
      </c>
      <c r="E9" s="20">
        <f>SUM(batchRunTBL[Not Tested])</f>
        <v>59</v>
      </c>
      <c r="L9" s="57"/>
      <c r="M9" s="57"/>
      <c r="N9" s="57"/>
      <c r="O9" s="57"/>
      <c r="P9" s="57"/>
    </row>
    <row r="10" spans="1:16" x14ac:dyDescent="0.15">
      <c r="A10" s="5" t="s">
        <v>245</v>
      </c>
      <c r="B10" s="1" t="s">
        <v>76</v>
      </c>
      <c r="D10" s="5" t="s">
        <v>4</v>
      </c>
      <c r="E10" s="22">
        <f>SUM(batchRunTBL[Passed])</f>
        <v>0</v>
      </c>
      <c r="L10" s="57"/>
      <c r="M10" s="57"/>
      <c r="N10" s="57"/>
      <c r="O10" s="57"/>
      <c r="P10" s="57"/>
    </row>
    <row r="11" spans="1:16" x14ac:dyDescent="0.15">
      <c r="A11" s="5"/>
      <c r="D11" s="5" t="s">
        <v>5</v>
      </c>
      <c r="E11" s="21">
        <f>SUM(batchRunTBL[Failed])</f>
        <v>0</v>
      </c>
      <c r="L11" s="57"/>
      <c r="M11" s="57"/>
      <c r="N11" s="57"/>
      <c r="O11" s="57"/>
      <c r="P11" s="57"/>
    </row>
    <row r="12" spans="1:16" x14ac:dyDescent="0.15">
      <c r="A12" s="5"/>
      <c r="D12" s="5" t="s">
        <v>8</v>
      </c>
      <c r="E12" s="19">
        <f>SUM(batchRunTBL[Skipped])</f>
        <v>0</v>
      </c>
      <c r="L12" s="57"/>
      <c r="M12" s="57"/>
      <c r="N12" s="57"/>
      <c r="O12" s="57"/>
      <c r="P12" s="57"/>
    </row>
    <row r="13" spans="1:16" x14ac:dyDescent="0.15">
      <c r="A13" s="5"/>
      <c r="D13" s="5" t="s">
        <v>6</v>
      </c>
      <c r="E13" s="6">
        <f>SUM(batchRunTBL[Total])</f>
        <v>59</v>
      </c>
      <c r="L13" s="57"/>
      <c r="M13" s="57"/>
      <c r="N13" s="57"/>
      <c r="O13" s="57"/>
      <c r="P13" s="57"/>
    </row>
    <row r="14" spans="1:16" x14ac:dyDescent="0.15">
      <c r="A14" s="5"/>
      <c r="D14" s="5" t="s">
        <v>7</v>
      </c>
      <c r="E14" s="7">
        <f>(E13-E9)/E13</f>
        <v>0</v>
      </c>
      <c r="L14" s="57"/>
      <c r="M14" s="57"/>
      <c r="N14" s="57"/>
      <c r="O14" s="57"/>
      <c r="P14" s="57"/>
    </row>
    <row r="15" spans="1:16" x14ac:dyDescent="0.15">
      <c r="A15" s="5"/>
    </row>
    <row r="16" spans="1:16" x14ac:dyDescent="0.15">
      <c r="A16" s="5"/>
      <c r="B16" s="6"/>
    </row>
    <row r="17" spans="1:15" ht="21.75" customHeight="1" x14ac:dyDescent="0.15">
      <c r="A17" s="24"/>
      <c r="C17" s="13"/>
      <c r="D17" s="4"/>
      <c r="E17" s="4"/>
      <c r="F17" s="4"/>
      <c r="G17" s="4"/>
      <c r="H17" s="4"/>
      <c r="I17" s="4"/>
      <c r="J17" s="4"/>
      <c r="K17" s="4"/>
      <c r="L17" s="4"/>
      <c r="M17" s="29"/>
      <c r="N17" s="3"/>
      <c r="O17" s="4"/>
    </row>
    <row r="18" spans="1:15" s="30" customFormat="1" ht="21" x14ac:dyDescent="0.15">
      <c r="A18" s="10" t="s">
        <v>99</v>
      </c>
    </row>
    <row r="19" spans="1:15" s="30" customFormat="1" x14ac:dyDescent="0.15">
      <c r="A19" s="30" t="s">
        <v>109</v>
      </c>
      <c r="B19" s="30" t="s">
        <v>100</v>
      </c>
      <c r="C19" s="30" t="s">
        <v>73</v>
      </c>
      <c r="D19" s="30" t="s">
        <v>97</v>
      </c>
      <c r="E19" s="30" t="s">
        <v>98</v>
      </c>
      <c r="F19" s="30" t="s">
        <v>101</v>
      </c>
      <c r="G19" s="30" t="s">
        <v>102</v>
      </c>
      <c r="H19" s="30" t="s">
        <v>57</v>
      </c>
      <c r="I19" s="30" t="s">
        <v>103</v>
      </c>
    </row>
    <row r="20" spans="1:15" s="30" customFormat="1" x14ac:dyDescent="0.15">
      <c r="A20" s="55" t="s">
        <v>76</v>
      </c>
      <c r="B20" s="30" t="s">
        <v>283</v>
      </c>
      <c r="C20" s="30">
        <v>49</v>
      </c>
      <c r="D20" s="30">
        <v>0</v>
      </c>
      <c r="E20" s="30">
        <v>0</v>
      </c>
      <c r="F20" s="30">
        <v>0</v>
      </c>
      <c r="G20" s="30">
        <v>49</v>
      </c>
      <c r="H20" s="30" t="s">
        <v>286</v>
      </c>
      <c r="I20" s="46"/>
    </row>
    <row r="21" spans="1:15" s="30" customFormat="1" x14ac:dyDescent="0.15">
      <c r="A21" s="12" t="s">
        <v>76</v>
      </c>
      <c r="B21" s="1" t="s">
        <v>284</v>
      </c>
      <c r="C21" s="13">
        <v>10</v>
      </c>
      <c r="D21" s="4">
        <v>0</v>
      </c>
      <c r="E21" s="4">
        <v>0</v>
      </c>
      <c r="F21" s="4">
        <v>0</v>
      </c>
      <c r="G21" s="4">
        <v>10</v>
      </c>
      <c r="H21" s="4" t="s">
        <v>286</v>
      </c>
      <c r="I21" s="4"/>
    </row>
    <row r="22" spans="1:15" s="30" customFormat="1" x14ac:dyDescent="0.15">
      <c r="A22" s="12"/>
      <c r="B22" s="1"/>
      <c r="C22" s="13"/>
      <c r="D22" s="4"/>
      <c r="E22" s="4"/>
      <c r="F22" s="4"/>
      <c r="G22" s="4"/>
      <c r="H22" s="4"/>
      <c r="I22" s="4"/>
    </row>
    <row r="23" spans="1:15" s="30" customFormat="1" x14ac:dyDescent="0.15">
      <c r="A23" s="12"/>
      <c r="B23" s="1"/>
      <c r="C23" s="13"/>
      <c r="D23" s="4"/>
      <c r="E23" s="4"/>
      <c r="F23" s="4"/>
      <c r="G23" s="4"/>
      <c r="H23" s="4"/>
      <c r="I23" s="4"/>
    </row>
    <row r="24" spans="1:15" s="30" customFormat="1" x14ac:dyDescent="0.15">
      <c r="A24" s="12"/>
      <c r="B24" s="1"/>
      <c r="C24" s="13"/>
      <c r="D24" s="4"/>
      <c r="E24" s="4"/>
      <c r="F24" s="4"/>
      <c r="G24" s="4"/>
      <c r="H24" s="4"/>
      <c r="I24" s="4"/>
    </row>
    <row r="25" spans="1:15" s="30" customFormat="1" x14ac:dyDescent="0.15">
      <c r="A25" s="12"/>
      <c r="B25" s="1"/>
      <c r="C25" s="13"/>
      <c r="D25" s="4"/>
      <c r="E25" s="4"/>
      <c r="F25" s="4"/>
      <c r="G25" s="4"/>
      <c r="H25" s="4"/>
      <c r="I25" s="4"/>
    </row>
    <row r="26" spans="1:15" s="30" customFormat="1" x14ac:dyDescent="0.15">
      <c r="A26" s="12"/>
      <c r="B26" s="1"/>
      <c r="C26" s="13"/>
      <c r="D26" s="4"/>
      <c r="E26" s="4"/>
      <c r="F26" s="4"/>
      <c r="G26" s="4"/>
      <c r="H26" s="4"/>
      <c r="I26" s="4"/>
    </row>
    <row r="27" spans="1:15" s="30" customFormat="1" x14ac:dyDescent="0.15">
      <c r="A27" s="12"/>
      <c r="B27" s="1"/>
      <c r="C27" s="13"/>
      <c r="D27" s="4"/>
      <c r="E27" s="4"/>
      <c r="F27" s="4"/>
      <c r="G27" s="4"/>
      <c r="H27" s="4"/>
      <c r="I27" s="4"/>
    </row>
    <row r="28" spans="1:15" s="30" customFormat="1" x14ac:dyDescent="0.15">
      <c r="A28" s="12"/>
      <c r="B28" s="1"/>
      <c r="C28" s="13"/>
      <c r="D28" s="4"/>
      <c r="E28" s="4"/>
      <c r="F28" s="4"/>
      <c r="G28" s="4"/>
      <c r="H28" s="4"/>
      <c r="I28" s="4"/>
    </row>
    <row r="29" spans="1:15" s="30" customFormat="1" x14ac:dyDescent="0.15">
      <c r="A29" s="12"/>
      <c r="B29" s="1"/>
      <c r="C29" s="13"/>
      <c r="D29" s="4"/>
      <c r="E29" s="4"/>
      <c r="F29" s="4"/>
      <c r="G29" s="4"/>
      <c r="H29" s="4"/>
      <c r="I29" s="4"/>
    </row>
    <row r="30" spans="1:15" s="30" customFormat="1" x14ac:dyDescent="0.15">
      <c r="A30" s="12"/>
      <c r="B30" s="1"/>
      <c r="C30" s="13"/>
      <c r="D30" s="4"/>
      <c r="E30" s="4"/>
      <c r="F30" s="4"/>
      <c r="G30" s="4"/>
      <c r="H30" s="4"/>
      <c r="I30" s="4"/>
    </row>
    <row r="31" spans="1:15" s="30" customFormat="1" x14ac:dyDescent="0.15">
      <c r="A31" s="12"/>
      <c r="B31" s="1"/>
      <c r="C31" s="13"/>
      <c r="D31" s="4"/>
      <c r="E31" s="4"/>
      <c r="F31" s="4"/>
      <c r="G31" s="4"/>
      <c r="H31" s="4"/>
      <c r="I31" s="4"/>
    </row>
    <row r="32" spans="1:15" s="30" customFormat="1" x14ac:dyDescent="0.15">
      <c r="A32" s="12"/>
      <c r="B32" s="1"/>
      <c r="C32" s="13"/>
      <c r="D32" s="4"/>
      <c r="E32" s="4"/>
      <c r="F32" s="4"/>
      <c r="G32" s="4"/>
      <c r="H32" s="4"/>
      <c r="I32" s="4"/>
    </row>
    <row r="33" spans="1:15" s="30" customFormat="1" x14ac:dyDescent="0.15">
      <c r="A33" s="12"/>
      <c r="B33" s="1"/>
      <c r="C33" s="13"/>
      <c r="D33" s="4"/>
      <c r="E33" s="4"/>
      <c r="F33" s="4"/>
      <c r="G33" s="4"/>
      <c r="H33" s="4"/>
      <c r="I33" s="4"/>
    </row>
    <row r="34" spans="1:15" s="30" customFormat="1" x14ac:dyDescent="0.15">
      <c r="A34" s="12"/>
      <c r="B34" s="1"/>
      <c r="C34" s="13"/>
      <c r="D34" s="4"/>
      <c r="E34" s="4"/>
      <c r="F34" s="4"/>
      <c r="G34" s="4"/>
      <c r="H34" s="4"/>
      <c r="I34" s="4"/>
    </row>
    <row r="35" spans="1:15" s="30" customFormat="1" x14ac:dyDescent="0.15">
      <c r="A35" s="12"/>
      <c r="B35" s="1"/>
      <c r="C35" s="13"/>
      <c r="D35" s="4"/>
      <c r="E35" s="4"/>
      <c r="F35" s="4"/>
      <c r="G35" s="4"/>
      <c r="H35" s="4"/>
      <c r="I35" s="4"/>
    </row>
    <row r="36" spans="1:15" s="30" customFormat="1" x14ac:dyDescent="0.15">
      <c r="A36" s="12"/>
      <c r="B36" s="1"/>
      <c r="C36" s="13"/>
      <c r="D36" s="4"/>
      <c r="E36" s="4"/>
      <c r="F36" s="4"/>
      <c r="G36" s="4"/>
      <c r="H36" s="4"/>
      <c r="I36" s="4"/>
    </row>
    <row r="37" spans="1:15" s="30" customFormat="1" x14ac:dyDescent="0.15">
      <c r="A37" s="12"/>
      <c r="B37" s="1"/>
      <c r="C37" s="13"/>
      <c r="D37" s="4"/>
      <c r="E37" s="4"/>
      <c r="F37" s="4"/>
      <c r="G37" s="4"/>
      <c r="H37" s="4"/>
      <c r="I37" s="4"/>
    </row>
    <row r="38" spans="1:15" s="30" customFormat="1" x14ac:dyDescent="0.15">
      <c r="A38" s="12"/>
      <c r="B38" s="1"/>
      <c r="C38" s="13"/>
      <c r="D38" s="4"/>
      <c r="E38" s="4"/>
      <c r="F38" s="4"/>
      <c r="G38" s="4"/>
      <c r="H38" s="4"/>
      <c r="I38" s="4"/>
    </row>
    <row r="39" spans="1:15" s="30" customFormat="1" x14ac:dyDescent="0.15">
      <c r="A39" s="12"/>
      <c r="B39" s="1"/>
      <c r="C39" s="13"/>
      <c r="D39" s="4"/>
      <c r="E39" s="4"/>
      <c r="F39" s="4"/>
      <c r="G39" s="4"/>
      <c r="H39" s="4"/>
      <c r="I39" s="4"/>
    </row>
    <row r="40" spans="1:15" s="30" customFormat="1" x14ac:dyDescent="0.15">
      <c r="A40" s="12"/>
      <c r="B40" s="1"/>
      <c r="C40" s="13"/>
      <c r="D40" s="4"/>
      <c r="E40" s="4"/>
      <c r="F40" s="4"/>
      <c r="G40" s="4"/>
      <c r="H40" s="4"/>
      <c r="I40" s="4"/>
    </row>
    <row r="41" spans="1:15" s="30" customFormat="1" x14ac:dyDescent="0.15">
      <c r="A41" s="12"/>
      <c r="B41" s="1"/>
      <c r="C41" s="13"/>
      <c r="D41" s="4"/>
      <c r="E41" s="4"/>
      <c r="F41" s="4"/>
      <c r="G41" s="4"/>
      <c r="H41" s="4"/>
      <c r="I41" s="4"/>
    </row>
    <row r="42" spans="1:15" s="30" customFormat="1" x14ac:dyDescent="0.15">
      <c r="A42" s="12"/>
      <c r="B42" s="1"/>
      <c r="C42" s="13"/>
      <c r="D42" s="4"/>
      <c r="E42" s="4"/>
      <c r="F42" s="4"/>
      <c r="G42" s="4"/>
      <c r="H42" s="4"/>
      <c r="I42" s="4"/>
    </row>
    <row r="43" spans="1:15" ht="21.75" customHeight="1" x14ac:dyDescent="0.15">
      <c r="A43" s="12"/>
      <c r="C43" s="13"/>
      <c r="D43" s="4"/>
      <c r="E43" s="4"/>
      <c r="F43" s="4"/>
      <c r="G43" s="4"/>
      <c r="H43" s="4"/>
      <c r="I43" s="4"/>
      <c r="J43" s="4"/>
      <c r="K43" s="4"/>
      <c r="L43" s="4"/>
      <c r="M43" s="29"/>
      <c r="N43" s="3"/>
      <c r="O43" s="4"/>
    </row>
    <row r="44" spans="1:15" ht="21.75" customHeight="1" x14ac:dyDescent="0.15">
      <c r="A44" s="12"/>
      <c r="C44" s="13"/>
      <c r="D44" s="4"/>
      <c r="E44" s="4"/>
      <c r="F44" s="4"/>
      <c r="G44" s="4"/>
      <c r="H44" s="4"/>
      <c r="I44" s="4"/>
      <c r="J44" s="4"/>
      <c r="K44" s="4"/>
      <c r="L44" s="4"/>
      <c r="M44" s="29"/>
      <c r="N44" s="3"/>
      <c r="O44" s="4"/>
    </row>
    <row r="45" spans="1:15" ht="21.75" customHeight="1" x14ac:dyDescent="0.15">
      <c r="A45" s="12"/>
      <c r="C45" s="13"/>
      <c r="D45" s="4"/>
      <c r="E45" s="4"/>
      <c r="F45" s="4"/>
      <c r="G45" s="4"/>
      <c r="H45" s="4"/>
      <c r="I45" s="4"/>
      <c r="J45" s="4"/>
      <c r="K45" s="27"/>
      <c r="L45" s="4"/>
      <c r="M45" s="29"/>
      <c r="N45" s="3"/>
      <c r="O45" s="4"/>
    </row>
    <row r="46" spans="1:15" ht="21.75" customHeight="1" x14ac:dyDescent="0.15">
      <c r="A46" s="12"/>
      <c r="C46" s="13"/>
      <c r="D46" s="4"/>
      <c r="E46" s="4"/>
      <c r="F46" s="4"/>
      <c r="G46" s="4"/>
      <c r="H46" s="4"/>
      <c r="I46" s="4"/>
      <c r="J46" s="4"/>
      <c r="K46" s="4"/>
      <c r="L46" s="4"/>
      <c r="M46" s="29"/>
      <c r="N46" s="3"/>
      <c r="O46" s="4"/>
    </row>
    <row r="47" spans="1:15" ht="21.75" customHeight="1" x14ac:dyDescent="0.15">
      <c r="A47" s="12"/>
      <c r="C47" s="13"/>
      <c r="D47" s="4"/>
      <c r="E47" s="4"/>
      <c r="F47" s="4"/>
      <c r="G47" s="4"/>
      <c r="H47" s="4"/>
      <c r="I47" s="4"/>
      <c r="J47" s="4"/>
      <c r="K47" s="4"/>
      <c r="L47" s="4"/>
      <c r="M47" s="29"/>
      <c r="N47" s="3"/>
      <c r="O47" s="4"/>
    </row>
    <row r="48" spans="1:15" ht="21.75" customHeight="1" x14ac:dyDescent="0.15">
      <c r="A48" s="12"/>
      <c r="C48" s="13"/>
      <c r="D48" s="4"/>
      <c r="E48" s="4"/>
      <c r="F48" s="4"/>
      <c r="G48" s="4"/>
      <c r="H48" s="4"/>
      <c r="I48" s="4"/>
      <c r="J48" s="4"/>
      <c r="K48" s="4"/>
      <c r="L48" s="4"/>
      <c r="M48" s="29"/>
      <c r="N48" s="3"/>
      <c r="O48" s="4"/>
    </row>
    <row r="49" spans="1:15" ht="21.75" customHeight="1" x14ac:dyDescent="0.15">
      <c r="A49" s="12"/>
      <c r="C49" s="13"/>
      <c r="D49" s="4"/>
      <c r="E49" s="4"/>
      <c r="F49" s="4"/>
      <c r="G49" s="4"/>
      <c r="H49" s="4"/>
      <c r="I49" s="4"/>
      <c r="J49" s="4"/>
      <c r="K49" s="4"/>
      <c r="L49" s="4"/>
      <c r="M49" s="23"/>
      <c r="N49" s="3"/>
      <c r="O49" s="4"/>
    </row>
    <row r="50" spans="1:15" ht="21.75" customHeight="1" x14ac:dyDescent="0.15">
      <c r="A50" s="12"/>
      <c r="C50" s="13"/>
      <c r="D50" s="4"/>
      <c r="E50" s="4"/>
      <c r="F50" s="4"/>
      <c r="G50" s="4"/>
      <c r="H50" s="4"/>
      <c r="I50" s="4"/>
      <c r="J50" s="4"/>
      <c r="K50" s="4"/>
      <c r="L50" s="4"/>
      <c r="M50" s="23"/>
      <c r="N50" s="3"/>
      <c r="O50" s="4"/>
    </row>
    <row r="51" spans="1:15" ht="21.75" customHeight="1" x14ac:dyDescent="0.15">
      <c r="A51" s="12"/>
      <c r="C51" s="13"/>
      <c r="D51" s="4"/>
      <c r="E51" s="4"/>
      <c r="F51" s="4"/>
      <c r="G51" s="4"/>
      <c r="H51" s="4"/>
      <c r="I51" s="4"/>
      <c r="J51" s="4"/>
      <c r="K51" s="4"/>
      <c r="L51" s="4"/>
      <c r="M51" s="4"/>
      <c r="N51" s="3"/>
      <c r="O51" s="4"/>
    </row>
    <row r="52" spans="1:15" ht="21.75" customHeight="1" x14ac:dyDescent="0.15">
      <c r="A52" s="12"/>
      <c r="C52" s="13"/>
      <c r="D52" s="4"/>
      <c r="E52" s="4"/>
      <c r="F52" s="4"/>
      <c r="G52" s="4"/>
      <c r="H52" s="4"/>
      <c r="I52" s="4"/>
      <c r="J52" s="4"/>
      <c r="K52" s="4"/>
      <c r="L52" s="4"/>
      <c r="M52" s="4"/>
      <c r="N52" s="3"/>
      <c r="O52" s="4"/>
    </row>
    <row r="53" spans="1:15" ht="21.75" customHeight="1" x14ac:dyDescent="0.15">
      <c r="A53" s="12"/>
      <c r="C53" s="13"/>
      <c r="D53" s="4"/>
      <c r="E53" s="4"/>
      <c r="F53" s="4"/>
      <c r="G53" s="4"/>
      <c r="H53" s="4"/>
      <c r="I53" s="4"/>
      <c r="J53" s="4"/>
      <c r="K53" s="4"/>
      <c r="L53" s="4"/>
      <c r="M53" s="4"/>
      <c r="N53" s="3"/>
      <c r="O53" s="4"/>
    </row>
    <row r="54" spans="1:15" ht="21.75" customHeight="1" x14ac:dyDescent="0.15">
      <c r="A54" s="12"/>
      <c r="C54" s="13"/>
      <c r="D54" s="4"/>
      <c r="E54" s="4"/>
      <c r="F54" s="4"/>
      <c r="G54" s="4"/>
      <c r="H54" s="4"/>
      <c r="I54" s="4"/>
      <c r="J54" s="4"/>
      <c r="K54" s="4"/>
      <c r="L54" s="4"/>
      <c r="M54" s="4"/>
      <c r="N54" s="3"/>
      <c r="O54" s="4"/>
    </row>
    <row r="55" spans="1:15" ht="21.75" customHeight="1" x14ac:dyDescent="0.15">
      <c r="A55" s="12"/>
      <c r="C55" s="13"/>
      <c r="D55" s="4"/>
      <c r="E55" s="4"/>
      <c r="F55" s="4"/>
      <c r="G55" s="4"/>
      <c r="H55" s="4"/>
      <c r="I55" s="4"/>
      <c r="J55" s="4"/>
      <c r="K55" s="4"/>
      <c r="L55" s="4"/>
      <c r="M55" s="4"/>
      <c r="N55" s="3"/>
      <c r="O55" s="4"/>
    </row>
    <row r="56" spans="1:15" ht="21.75" customHeight="1" x14ac:dyDescent="0.15">
      <c r="A56" s="12"/>
      <c r="C56" s="13"/>
      <c r="D56" s="4"/>
      <c r="E56" s="4"/>
      <c r="F56" s="4"/>
      <c r="G56" s="4"/>
      <c r="H56" s="4"/>
      <c r="I56" s="4"/>
      <c r="J56" s="4"/>
      <c r="K56" s="4"/>
      <c r="L56" s="4"/>
      <c r="M56" s="4"/>
      <c r="N56" s="3"/>
      <c r="O56" s="4"/>
    </row>
    <row r="57" spans="1:15" ht="21.75" customHeight="1" x14ac:dyDescent="0.15">
      <c r="A57" s="12"/>
      <c r="C57" s="13"/>
      <c r="D57" s="4"/>
      <c r="E57" s="4"/>
      <c r="F57" s="4"/>
      <c r="G57" s="4"/>
      <c r="H57" s="4"/>
      <c r="I57" s="4"/>
      <c r="J57" s="4"/>
      <c r="K57" s="4"/>
      <c r="L57" s="4"/>
      <c r="M57" s="4"/>
      <c r="N57" s="3"/>
      <c r="O57" s="4"/>
    </row>
    <row r="58" spans="1:15" ht="21.75" customHeight="1" x14ac:dyDescent="0.15">
      <c r="A58" s="12"/>
      <c r="C58" s="13"/>
      <c r="D58" s="4"/>
      <c r="E58" s="4"/>
      <c r="F58" s="4"/>
      <c r="G58" s="4"/>
      <c r="H58" s="4"/>
      <c r="I58" s="4"/>
      <c r="J58" s="4"/>
      <c r="K58" s="4"/>
      <c r="L58" s="4"/>
      <c r="M58" s="4"/>
      <c r="N58" s="3"/>
      <c r="O58" s="4"/>
    </row>
    <row r="59" spans="1:15" ht="21.75" customHeight="1" x14ac:dyDescent="0.15">
      <c r="A59" s="12"/>
      <c r="C59" s="13"/>
      <c r="D59" s="4"/>
      <c r="E59" s="4"/>
      <c r="F59" s="4"/>
      <c r="G59" s="4"/>
      <c r="H59" s="4"/>
      <c r="I59" s="4"/>
      <c r="J59" s="4"/>
      <c r="K59" s="4"/>
      <c r="L59" s="4"/>
      <c r="M59" s="4"/>
      <c r="N59" s="3"/>
      <c r="O59" s="4"/>
    </row>
    <row r="60" spans="1:15" ht="21.75" customHeight="1" x14ac:dyDescent="0.15">
      <c r="A60" s="12"/>
      <c r="C60" s="13"/>
      <c r="D60" s="4"/>
      <c r="E60" s="4"/>
      <c r="F60" s="4"/>
      <c r="G60" s="4"/>
      <c r="H60" s="4"/>
      <c r="I60" s="4"/>
      <c r="J60" s="4"/>
      <c r="K60" s="4"/>
      <c r="L60" s="4"/>
      <c r="M60" s="4"/>
      <c r="N60" s="3"/>
      <c r="O60" s="4"/>
    </row>
    <row r="61" spans="1:15" ht="21.75" customHeight="1" x14ac:dyDescent="0.15">
      <c r="A61" s="12"/>
      <c r="C61" s="13"/>
      <c r="D61" s="4"/>
      <c r="E61" s="4"/>
      <c r="F61" s="4"/>
      <c r="G61" s="4"/>
      <c r="H61" s="4"/>
      <c r="I61" s="4"/>
      <c r="J61" s="4"/>
      <c r="K61" s="4"/>
      <c r="L61" s="4"/>
      <c r="M61" s="4"/>
      <c r="N61" s="3"/>
      <c r="O61" s="4"/>
    </row>
    <row r="62" spans="1:15" ht="21.75" customHeight="1" x14ac:dyDescent="0.15">
      <c r="A62" s="12"/>
      <c r="C62" s="13"/>
      <c r="D62" s="4"/>
      <c r="E62" s="4"/>
      <c r="F62" s="4"/>
      <c r="G62" s="4"/>
      <c r="H62" s="4"/>
      <c r="I62" s="4"/>
      <c r="J62" s="4"/>
      <c r="K62" s="4"/>
      <c r="L62" s="4"/>
      <c r="M62" s="4"/>
      <c r="N62" s="3"/>
      <c r="O62" s="4"/>
    </row>
    <row r="63" spans="1:15" ht="21.75" customHeight="1" x14ac:dyDescent="0.15">
      <c r="A63" s="12"/>
      <c r="C63" s="13"/>
      <c r="D63" s="4"/>
      <c r="E63" s="4"/>
      <c r="F63" s="4"/>
      <c r="G63" s="4"/>
      <c r="H63" s="4"/>
      <c r="I63" s="4"/>
      <c r="J63" s="4"/>
      <c r="K63" s="4"/>
      <c r="L63" s="4"/>
      <c r="M63" s="4"/>
      <c r="N63" s="3"/>
      <c r="O63" s="4"/>
    </row>
    <row r="64" spans="1:15" ht="21.75" customHeight="1" x14ac:dyDescent="0.15">
      <c r="A64" s="12"/>
      <c r="C64" s="13"/>
      <c r="D64" s="4"/>
      <c r="E64" s="4"/>
      <c r="F64" s="4"/>
      <c r="G64" s="4"/>
      <c r="H64" s="4"/>
      <c r="I64" s="4"/>
      <c r="J64" s="4"/>
      <c r="K64" s="8"/>
      <c r="L64" s="8"/>
      <c r="M64" s="4"/>
      <c r="N64" s="3"/>
      <c r="O64" s="4"/>
    </row>
    <row r="65" spans="1:15" ht="21.75" customHeight="1" x14ac:dyDescent="0.15">
      <c r="A65" s="12"/>
      <c r="C65" s="13"/>
      <c r="D65" s="4"/>
      <c r="E65" s="4"/>
      <c r="F65" s="4"/>
      <c r="G65" s="4"/>
      <c r="H65" s="4"/>
      <c r="I65" s="4"/>
      <c r="J65" s="4"/>
      <c r="K65" s="18"/>
      <c r="L65" s="18"/>
      <c r="M65" s="4"/>
      <c r="N65" s="3"/>
      <c r="O65" s="4"/>
    </row>
    <row r="66" spans="1:15" ht="21.75" customHeight="1" x14ac:dyDescent="0.15">
      <c r="A66" s="12"/>
      <c r="C66" s="13"/>
      <c r="D66" s="4"/>
      <c r="E66" s="4"/>
      <c r="F66" s="4"/>
      <c r="G66" s="4"/>
      <c r="H66" s="4"/>
      <c r="I66" s="4"/>
      <c r="J66" s="4"/>
      <c r="K66" s="18"/>
      <c r="L66" s="18"/>
      <c r="M66" s="4"/>
      <c r="N66" s="3"/>
      <c r="O66" s="4"/>
    </row>
    <row r="67" spans="1:15" ht="21.75" customHeight="1" x14ac:dyDescent="0.15">
      <c r="A67" s="12"/>
      <c r="C67" s="13"/>
      <c r="D67" s="4"/>
      <c r="E67" s="4"/>
      <c r="F67" s="4"/>
      <c r="G67" s="4"/>
      <c r="H67" s="4"/>
      <c r="I67" s="4"/>
      <c r="J67" s="4"/>
      <c r="K67" s="8"/>
      <c r="L67" s="8"/>
      <c r="M67" s="4"/>
      <c r="N67" s="3"/>
      <c r="O67" s="4"/>
    </row>
    <row r="68" spans="1:15" ht="21.75" customHeight="1" x14ac:dyDescent="0.15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 x14ac:dyDescent="0.15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 x14ac:dyDescent="0.15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 x14ac:dyDescent="0.15">
      <c r="A71" s="12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 x14ac:dyDescent="0.15">
      <c r="A72" s="12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 x14ac:dyDescent="0.15">
      <c r="A73" s="12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 x14ac:dyDescent="0.15">
      <c r="A74" s="12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2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2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2"/>
      <c r="D77" s="4"/>
      <c r="E77" s="4"/>
      <c r="F77" s="4"/>
      <c r="G77" s="4"/>
      <c r="H77" s="4"/>
      <c r="I77" s="4"/>
      <c r="J77" s="4"/>
      <c r="K77" s="4"/>
      <c r="L77" s="4"/>
      <c r="M77" s="29"/>
      <c r="N77" s="3"/>
      <c r="O77" s="4"/>
    </row>
    <row r="78" spans="1:15" ht="21.75" customHeight="1" x14ac:dyDescent="0.15">
      <c r="A78" s="12"/>
      <c r="D78" s="4"/>
      <c r="E78" s="4"/>
      <c r="F78" s="4"/>
      <c r="G78" s="4"/>
      <c r="H78" s="4"/>
      <c r="I78" s="4"/>
      <c r="J78" s="4"/>
      <c r="K78" s="4"/>
      <c r="L78" s="4"/>
      <c r="M78" s="29"/>
      <c r="N78" s="3"/>
      <c r="O78" s="4"/>
    </row>
    <row r="79" spans="1:15" ht="21.75" customHeight="1" x14ac:dyDescent="0.15">
      <c r="A79" s="12"/>
      <c r="D79" s="4"/>
      <c r="E79" s="4"/>
      <c r="F79" s="4"/>
      <c r="G79" s="4"/>
      <c r="H79" s="4"/>
      <c r="I79" s="4"/>
      <c r="J79" s="4"/>
      <c r="K79" s="4"/>
      <c r="L79" s="4"/>
      <c r="M79" s="29"/>
      <c r="N79" s="3"/>
      <c r="O79" s="4"/>
    </row>
    <row r="80" spans="1:15" ht="21.75" customHeight="1" x14ac:dyDescent="0.15">
      <c r="A80" s="12"/>
      <c r="D80" s="4"/>
      <c r="E80" s="4"/>
      <c r="F80" s="4"/>
      <c r="G80" s="4"/>
      <c r="H80" s="4"/>
      <c r="I80" s="4"/>
      <c r="J80" s="4"/>
      <c r="K80" s="8"/>
      <c r="L80" s="8"/>
      <c r="M80" s="29"/>
      <c r="N80" s="3"/>
      <c r="O80" s="4"/>
    </row>
    <row r="81" spans="1:15" ht="21.75" customHeight="1" x14ac:dyDescent="0.15">
      <c r="A81" s="12"/>
      <c r="D81" s="4"/>
      <c r="E81" s="4"/>
      <c r="F81" s="4"/>
      <c r="G81" s="4"/>
      <c r="H81" s="4"/>
      <c r="I81" s="4"/>
      <c r="J81" s="4"/>
      <c r="K81" s="18"/>
      <c r="L81" s="18"/>
      <c r="M81" s="29"/>
      <c r="N81" s="3"/>
      <c r="O81" s="4"/>
    </row>
    <row r="82" spans="1:15" ht="21.75" customHeight="1" x14ac:dyDescent="0.15">
      <c r="A82" s="12"/>
      <c r="D82" s="4"/>
      <c r="E82" s="4"/>
      <c r="F82" s="4"/>
      <c r="G82" s="4"/>
      <c r="H82" s="4"/>
      <c r="I82" s="4"/>
      <c r="J82" s="4"/>
      <c r="K82" s="18"/>
      <c r="L82" s="18"/>
      <c r="M82" s="29"/>
      <c r="N82" s="3"/>
      <c r="O82" s="4"/>
    </row>
    <row r="83" spans="1:15" ht="21.75" customHeight="1" x14ac:dyDescent="0.15">
      <c r="A83" s="12"/>
      <c r="D83" s="4"/>
      <c r="E83" s="4"/>
      <c r="F83" s="4"/>
      <c r="G83" s="4"/>
      <c r="H83" s="4"/>
      <c r="I83" s="4"/>
      <c r="J83" s="4"/>
      <c r="K83" s="8"/>
      <c r="L83" s="8"/>
      <c r="M83" s="29"/>
      <c r="N83" s="3"/>
      <c r="O83" s="4"/>
    </row>
    <row r="84" spans="1:15" ht="21.75" customHeight="1" x14ac:dyDescent="0.15">
      <c r="J84" s="4"/>
      <c r="K84" s="4"/>
      <c r="L84" s="4"/>
      <c r="M84" s="29"/>
      <c r="N84" s="3"/>
      <c r="O84" s="4"/>
    </row>
    <row r="85" spans="1:15" ht="21.75" customHeight="1" x14ac:dyDescent="0.15">
      <c r="J85" s="4"/>
      <c r="K85" s="4"/>
      <c r="L85" s="4"/>
      <c r="M85" s="29"/>
      <c r="N85" s="3"/>
      <c r="O85" s="4"/>
    </row>
    <row r="86" spans="1:15" ht="21.75" customHeight="1" x14ac:dyDescent="0.15">
      <c r="J86" s="4"/>
      <c r="K86" s="4"/>
      <c r="L86" s="4"/>
      <c r="M86" s="29"/>
      <c r="N86" s="3"/>
      <c r="O86" s="4"/>
    </row>
    <row r="87" spans="1:15" ht="21.75" customHeight="1" x14ac:dyDescent="0.15">
      <c r="J87" s="4"/>
      <c r="K87" s="4"/>
      <c r="L87" s="4"/>
      <c r="M87" s="29"/>
      <c r="N87" s="3"/>
      <c r="O87" s="4"/>
    </row>
    <row r="88" spans="1:15" ht="21.75" customHeight="1" x14ac:dyDescent="0.15">
      <c r="J88" s="4"/>
      <c r="K88" s="4"/>
      <c r="L88" s="4"/>
      <c r="M88" s="29"/>
      <c r="N88" s="3"/>
      <c r="O88" s="4"/>
    </row>
    <row r="89" spans="1:15" ht="21.75" customHeight="1" x14ac:dyDescent="0.15">
      <c r="J89" s="4"/>
      <c r="K89" s="4"/>
      <c r="L89" s="4"/>
      <c r="M89" s="29"/>
      <c r="N89" s="3"/>
      <c r="O89" s="4"/>
    </row>
    <row r="90" spans="1:15" ht="21.75" customHeight="1" x14ac:dyDescent="0.15">
      <c r="J90" s="4"/>
      <c r="K90" s="4"/>
      <c r="L90" s="4"/>
      <c r="M90" s="29"/>
      <c r="N90" s="3"/>
      <c r="O90" s="4"/>
    </row>
    <row r="91" spans="1:15" ht="21.75" customHeight="1" x14ac:dyDescent="0.15">
      <c r="J91" s="4"/>
      <c r="K91" s="4"/>
      <c r="L91" s="4"/>
      <c r="M91" s="29"/>
      <c r="N91" s="3"/>
      <c r="O91" s="4"/>
    </row>
    <row r="92" spans="1:15" ht="21.75" customHeight="1" x14ac:dyDescent="0.15">
      <c r="J92" s="4"/>
      <c r="K92" s="4"/>
      <c r="L92" s="4"/>
      <c r="M92" s="29"/>
      <c r="N92" s="3"/>
      <c r="O92" s="4"/>
    </row>
    <row r="93" spans="1:15" ht="21.75" customHeight="1" x14ac:dyDescent="0.15">
      <c r="J93" s="4"/>
      <c r="K93" s="4"/>
      <c r="L93" s="4"/>
      <c r="M93" s="29"/>
      <c r="N93" s="3"/>
      <c r="O93" s="4"/>
    </row>
    <row r="94" spans="1:15" ht="21.75" customHeight="1" x14ac:dyDescent="0.15">
      <c r="J94" s="4"/>
      <c r="K94" s="4"/>
      <c r="L94" s="4"/>
      <c r="M94" s="29"/>
      <c r="N94" s="3"/>
      <c r="O94" s="4"/>
    </row>
    <row r="95" spans="1:15" ht="21.75" customHeight="1" x14ac:dyDescent="0.15">
      <c r="J95" s="4"/>
      <c r="K95" s="4"/>
      <c r="L95" s="4"/>
      <c r="M95" s="29"/>
      <c r="N95" s="3"/>
      <c r="O95" s="4"/>
    </row>
    <row r="96" spans="1:15" ht="21.75" customHeight="1" x14ac:dyDescent="0.15">
      <c r="J96" s="4"/>
      <c r="K96" s="8"/>
      <c r="L96" s="8"/>
      <c r="M96" s="29"/>
      <c r="N96" s="3"/>
      <c r="O96" s="4"/>
    </row>
    <row r="97" spans="10:15" ht="21.75" customHeight="1" x14ac:dyDescent="0.15">
      <c r="J97" s="4"/>
      <c r="K97" s="18"/>
      <c r="L97" s="18"/>
      <c r="M97" s="29"/>
      <c r="N97" s="3"/>
      <c r="O97" s="4"/>
    </row>
    <row r="98" spans="10:15" ht="21.75" customHeight="1" x14ac:dyDescent="0.15">
      <c r="J98" s="4"/>
      <c r="K98" s="18"/>
      <c r="L98" s="18"/>
      <c r="M98" s="29"/>
      <c r="N98" s="3"/>
      <c r="O98" s="4"/>
    </row>
    <row r="99" spans="10:15" ht="21.75" customHeight="1" x14ac:dyDescent="0.15">
      <c r="J99" s="4"/>
      <c r="K99" s="8"/>
      <c r="L99" s="8"/>
      <c r="M99" s="29"/>
      <c r="N99" s="3"/>
      <c r="O99" s="4"/>
    </row>
    <row r="100" spans="10:15" ht="21.75" customHeight="1" x14ac:dyDescent="0.15">
      <c r="J100" s="4"/>
      <c r="K100" s="4"/>
      <c r="L100" s="4"/>
      <c r="M100" s="29"/>
      <c r="N100" s="3"/>
      <c r="O100" s="4"/>
    </row>
    <row r="101" spans="10:15" ht="21.75" customHeight="1" x14ac:dyDescent="0.15">
      <c r="J101" s="4"/>
      <c r="K101" s="4"/>
      <c r="L101" s="4"/>
      <c r="M101" s="29"/>
      <c r="N101" s="3"/>
      <c r="O101" s="4"/>
    </row>
    <row r="102" spans="10:15" ht="21.75" customHeight="1" x14ac:dyDescent="0.15">
      <c r="J102" s="4"/>
      <c r="K102" s="4"/>
      <c r="L102" s="4"/>
      <c r="M102" s="29"/>
      <c r="N102" s="3"/>
      <c r="O102" s="4"/>
    </row>
    <row r="103" spans="10:15" ht="21.75" customHeight="1" x14ac:dyDescent="0.15">
      <c r="J103" s="4"/>
      <c r="K103" s="4"/>
      <c r="L103" s="4"/>
      <c r="M103" s="29"/>
      <c r="N103" s="3"/>
      <c r="O103" s="4"/>
    </row>
    <row r="104" spans="10:15" ht="21.75" customHeight="1" x14ac:dyDescent="0.15">
      <c r="J104" s="4"/>
      <c r="K104" s="4"/>
      <c r="L104" s="4"/>
      <c r="M104" s="29"/>
      <c r="N104" s="3"/>
      <c r="O104" s="4"/>
    </row>
    <row r="105" spans="10:15" ht="21.75" customHeight="1" x14ac:dyDescent="0.15">
      <c r="J105" s="4"/>
      <c r="K105" s="4"/>
      <c r="L105" s="4"/>
      <c r="M105" s="29"/>
      <c r="N105" s="3"/>
      <c r="O105" s="4"/>
    </row>
    <row r="106" spans="10:15" ht="21.75" customHeight="1" x14ac:dyDescent="0.15">
      <c r="J106" s="4"/>
      <c r="K106" s="4"/>
      <c r="L106" s="4"/>
      <c r="M106" s="29"/>
      <c r="N106" s="3"/>
      <c r="O106" s="4"/>
    </row>
    <row r="107" spans="10:15" ht="21.75" customHeight="1" x14ac:dyDescent="0.15">
      <c r="J107" s="4"/>
      <c r="K107" s="4"/>
      <c r="L107" s="4"/>
      <c r="M107" s="29"/>
      <c r="N107" s="3"/>
      <c r="O107" s="4"/>
    </row>
    <row r="108" spans="10:15" ht="21.75" customHeight="1" x14ac:dyDescent="0.15">
      <c r="J108" s="4"/>
      <c r="K108" s="4"/>
      <c r="L108" s="4"/>
      <c r="M108" s="29"/>
      <c r="N108" s="3"/>
      <c r="O108" s="4"/>
    </row>
    <row r="109" spans="10:15" ht="21.75" customHeight="1" x14ac:dyDescent="0.15">
      <c r="J109" s="4"/>
      <c r="K109" s="4"/>
      <c r="L109" s="4"/>
      <c r="M109" s="29"/>
      <c r="N109" s="3"/>
      <c r="O109" s="4"/>
    </row>
    <row r="110" spans="10:15" ht="21.75" customHeight="1" x14ac:dyDescent="0.15">
      <c r="J110" s="4"/>
      <c r="K110" s="4"/>
      <c r="L110" s="4"/>
      <c r="M110" s="29"/>
      <c r="N110" s="3"/>
      <c r="O110" s="4"/>
    </row>
    <row r="111" spans="10:15" ht="21.75" customHeight="1" x14ac:dyDescent="0.15">
      <c r="J111" s="4"/>
      <c r="K111" s="4"/>
      <c r="L111" s="4"/>
      <c r="M111" s="29"/>
      <c r="N111" s="3"/>
      <c r="O111" s="4"/>
    </row>
    <row r="112" spans="10:15" ht="21.75" customHeight="1" x14ac:dyDescent="0.15">
      <c r="J112" s="4"/>
      <c r="K112" s="8"/>
      <c r="L112" s="8"/>
      <c r="M112" s="29"/>
      <c r="N112" s="3"/>
      <c r="O112" s="4"/>
    </row>
    <row r="113" spans="10:15" ht="21.75" customHeight="1" x14ac:dyDescent="0.15">
      <c r="J113" s="4"/>
      <c r="K113" s="18"/>
      <c r="L113" s="18"/>
      <c r="M113" s="29"/>
      <c r="N113" s="3"/>
      <c r="O113" s="4"/>
    </row>
    <row r="114" spans="10:15" ht="21.75" customHeight="1" x14ac:dyDescent="0.15">
      <c r="J114" s="4"/>
      <c r="K114" s="18"/>
      <c r="L114" s="18"/>
      <c r="M114" s="29"/>
      <c r="N114" s="3"/>
      <c r="O114" s="4"/>
    </row>
    <row r="115" spans="10:15" ht="21.75" customHeight="1" x14ac:dyDescent="0.15">
      <c r="J115" s="4"/>
      <c r="K115" s="8"/>
      <c r="L115" s="8"/>
      <c r="M115" s="29"/>
      <c r="N115" s="3"/>
      <c r="O115" s="4"/>
    </row>
    <row r="116" spans="10:15" ht="21.75" customHeight="1" x14ac:dyDescent="0.15">
      <c r="J116" s="4"/>
      <c r="K116" s="4"/>
      <c r="L116" s="4"/>
      <c r="M116" s="29"/>
      <c r="N116" s="3"/>
      <c r="O116" s="4"/>
    </row>
    <row r="117" spans="10:15" ht="21.75" customHeight="1" x14ac:dyDescent="0.15">
      <c r="J117" s="4"/>
      <c r="K117" s="4"/>
      <c r="L117" s="4"/>
      <c r="M117" s="29"/>
      <c r="N117" s="3"/>
      <c r="O117" s="4"/>
    </row>
    <row r="118" spans="10:15" ht="21.75" customHeight="1" x14ac:dyDescent="0.15">
      <c r="J118" s="4"/>
      <c r="K118" s="4"/>
      <c r="L118" s="4"/>
      <c r="M118" s="29"/>
      <c r="N118" s="3"/>
      <c r="O118" s="4"/>
    </row>
    <row r="119" spans="10:15" ht="21.75" customHeight="1" x14ac:dyDescent="0.15">
      <c r="J119" s="4"/>
      <c r="K119" s="4"/>
      <c r="L119" s="4"/>
      <c r="M119" s="29"/>
      <c r="N119" s="3"/>
      <c r="O119" s="4"/>
    </row>
    <row r="120" spans="10:15" ht="21.75" customHeight="1" x14ac:dyDescent="0.15">
      <c r="J120" s="4"/>
      <c r="K120" s="4"/>
      <c r="L120" s="4"/>
      <c r="M120" s="29"/>
      <c r="N120" s="3"/>
      <c r="O120" s="4"/>
    </row>
    <row r="121" spans="10:15" ht="21.75" customHeight="1" x14ac:dyDescent="0.15">
      <c r="J121" s="4"/>
      <c r="K121" s="4"/>
      <c r="L121" s="4"/>
      <c r="M121" s="29"/>
      <c r="N121" s="3"/>
      <c r="O121" s="4"/>
    </row>
    <row r="122" spans="10:15" ht="21.75" customHeight="1" x14ac:dyDescent="0.15">
      <c r="J122" s="4"/>
      <c r="K122" s="4"/>
      <c r="L122" s="4"/>
      <c r="M122" s="29"/>
      <c r="N122" s="3"/>
      <c r="O122" s="4"/>
    </row>
    <row r="123" spans="10:15" ht="21.75" customHeight="1" x14ac:dyDescent="0.15">
      <c r="J123" s="4"/>
      <c r="K123" s="4"/>
      <c r="L123" s="4"/>
      <c r="M123" s="29"/>
      <c r="N123" s="3"/>
      <c r="O123" s="4"/>
    </row>
    <row r="124" spans="10:15" ht="21.75" customHeight="1" x14ac:dyDescent="0.15">
      <c r="J124" s="4"/>
      <c r="K124" s="4"/>
      <c r="L124" s="4"/>
      <c r="M124" s="29"/>
      <c r="N124" s="3"/>
      <c r="O124" s="4"/>
    </row>
    <row r="125" spans="10:15" ht="21.75" customHeight="1" x14ac:dyDescent="0.15">
      <c r="J125" s="4"/>
      <c r="K125" s="4"/>
      <c r="L125" s="4"/>
      <c r="M125" s="29"/>
      <c r="N125" s="3"/>
      <c r="O125" s="4"/>
    </row>
    <row r="126" spans="10:15" ht="21.75" customHeight="1" x14ac:dyDescent="0.15">
      <c r="J126" s="4"/>
      <c r="K126" s="4"/>
      <c r="L126" s="4"/>
      <c r="M126" s="29"/>
      <c r="N126" s="3"/>
      <c r="O126" s="4"/>
    </row>
    <row r="127" spans="10:15" ht="21.75" customHeight="1" x14ac:dyDescent="0.15">
      <c r="J127" s="4"/>
      <c r="K127" s="4"/>
      <c r="L127" s="4"/>
      <c r="M127" s="29"/>
      <c r="N127" s="3"/>
      <c r="O127" s="4"/>
    </row>
    <row r="128" spans="10:15" ht="21.75" customHeight="1" x14ac:dyDescent="0.15">
      <c r="J128" s="4"/>
      <c r="K128" s="8"/>
      <c r="L128" s="8"/>
      <c r="M128" s="29"/>
      <c r="N128" s="3"/>
      <c r="O128" s="4"/>
    </row>
    <row r="129" spans="10:15" ht="21.75" customHeight="1" x14ac:dyDescent="0.15">
      <c r="J129" s="4"/>
      <c r="K129" s="18"/>
      <c r="L129" s="18"/>
      <c r="M129" s="29"/>
      <c r="N129" s="3"/>
      <c r="O129" s="4"/>
    </row>
    <row r="130" spans="10:15" ht="21.75" customHeight="1" x14ac:dyDescent="0.15">
      <c r="J130" s="4"/>
      <c r="K130" s="18"/>
      <c r="L130" s="18"/>
      <c r="M130" s="29"/>
      <c r="N130" s="3"/>
      <c r="O130" s="4"/>
    </row>
    <row r="131" spans="10:15" ht="21.75" customHeight="1" x14ac:dyDescent="0.15">
      <c r="J131" s="4"/>
      <c r="K131" s="8"/>
      <c r="L131" s="8"/>
      <c r="M131" s="29"/>
      <c r="N131" s="3"/>
      <c r="O131" s="4"/>
    </row>
    <row r="132" spans="10:15" ht="21.75" customHeight="1" x14ac:dyDescent="0.15">
      <c r="J132" s="4"/>
      <c r="K132" s="4"/>
      <c r="L132" s="4"/>
      <c r="M132" s="29"/>
      <c r="N132" s="3"/>
      <c r="O132" s="4"/>
    </row>
    <row r="133" spans="10:15" ht="21.75" customHeight="1" x14ac:dyDescent="0.15">
      <c r="J133" s="4"/>
      <c r="K133" s="4"/>
      <c r="L133" s="4"/>
      <c r="M133" s="29"/>
      <c r="N133" s="3"/>
      <c r="O133" s="4"/>
    </row>
    <row r="134" spans="10:15" ht="21.75" customHeight="1" x14ac:dyDescent="0.15">
      <c r="J134" s="4"/>
      <c r="K134" s="4"/>
      <c r="L134" s="4"/>
      <c r="M134" s="29"/>
      <c r="N134" s="3"/>
      <c r="O134" s="4"/>
    </row>
    <row r="135" spans="10:15" ht="21.75" customHeight="1" x14ac:dyDescent="0.15">
      <c r="J135" s="4"/>
      <c r="K135" s="4"/>
      <c r="L135" s="4"/>
      <c r="M135" s="29"/>
      <c r="N135" s="3"/>
      <c r="O135" s="4"/>
    </row>
    <row r="136" spans="10:15" ht="21.75" customHeight="1" x14ac:dyDescent="0.15">
      <c r="J136" s="4"/>
      <c r="K136" s="4"/>
      <c r="L136" s="4"/>
      <c r="M136" s="29"/>
      <c r="N136" s="3"/>
      <c r="O136" s="4"/>
    </row>
    <row r="137" spans="10:15" ht="21.75" customHeight="1" x14ac:dyDescent="0.15">
      <c r="J137" s="4"/>
      <c r="K137" s="4"/>
      <c r="L137" s="4"/>
      <c r="M137" s="29"/>
      <c r="N137" s="3"/>
      <c r="O137" s="4"/>
    </row>
    <row r="138" spans="10:15" ht="21.75" customHeight="1" x14ac:dyDescent="0.15">
      <c r="J138" s="4"/>
      <c r="K138" s="4"/>
      <c r="L138" s="4"/>
      <c r="M138" s="29"/>
      <c r="N138" s="3"/>
      <c r="O138" s="4"/>
    </row>
    <row r="139" spans="10:15" ht="21.75" customHeight="1" x14ac:dyDescent="0.15">
      <c r="J139" s="4"/>
      <c r="K139" s="4"/>
      <c r="L139" s="4"/>
      <c r="M139" s="29"/>
      <c r="N139" s="3"/>
      <c r="O139" s="4"/>
    </row>
    <row r="140" spans="10:15" ht="21.75" customHeight="1" x14ac:dyDescent="0.15">
      <c r="J140" s="4"/>
      <c r="K140" s="4"/>
      <c r="L140" s="4"/>
      <c r="M140" s="29"/>
      <c r="N140" s="3"/>
      <c r="O140" s="4"/>
    </row>
    <row r="141" spans="10:15" ht="21.75" customHeight="1" x14ac:dyDescent="0.15">
      <c r="J141" s="4"/>
      <c r="K141" s="4"/>
      <c r="L141" s="4"/>
      <c r="M141" s="29"/>
      <c r="N141" s="3"/>
      <c r="O141" s="4"/>
    </row>
    <row r="142" spans="10:15" ht="21.75" customHeight="1" x14ac:dyDescent="0.15">
      <c r="J142" s="4"/>
      <c r="K142" s="4"/>
      <c r="L142" s="4"/>
      <c r="M142" s="29"/>
      <c r="N142" s="3"/>
      <c r="O142" s="4"/>
    </row>
    <row r="143" spans="10:15" ht="21.75" customHeight="1" x14ac:dyDescent="0.15">
      <c r="J143" s="4"/>
      <c r="K143" s="4"/>
      <c r="L143" s="4"/>
      <c r="M143" s="29"/>
      <c r="N143" s="3"/>
      <c r="O143" s="4"/>
    </row>
    <row r="144" spans="10:15" ht="21.75" customHeight="1" x14ac:dyDescent="0.15">
      <c r="J144" s="4"/>
      <c r="K144" s="8"/>
      <c r="L144" s="8"/>
      <c r="M144" s="29"/>
      <c r="N144" s="3"/>
      <c r="O144" s="4"/>
    </row>
    <row r="145" spans="10:15" ht="21.75" customHeight="1" x14ac:dyDescent="0.15">
      <c r="J145" s="4"/>
      <c r="K145" s="18"/>
      <c r="L145" s="18"/>
      <c r="M145" s="29"/>
      <c r="N145" s="3"/>
      <c r="O145" s="4"/>
    </row>
    <row r="146" spans="10:15" ht="21.75" customHeight="1" x14ac:dyDescent="0.15">
      <c r="J146" s="4"/>
      <c r="K146" s="18"/>
      <c r="L146" s="18"/>
      <c r="M146" s="29"/>
      <c r="N146" s="3"/>
      <c r="O146" s="4"/>
    </row>
    <row r="147" spans="10:15" ht="21.75" customHeight="1" x14ac:dyDescent="0.15">
      <c r="J147" s="4"/>
      <c r="K147" s="8"/>
      <c r="L147" s="8"/>
      <c r="M147" s="29"/>
      <c r="N147" s="3"/>
      <c r="O147" s="4"/>
    </row>
    <row r="148" spans="10:15" ht="21.75" customHeight="1" x14ac:dyDescent="0.15">
      <c r="J148" s="4"/>
      <c r="K148" s="4"/>
      <c r="L148" s="4"/>
      <c r="M148" s="29"/>
      <c r="N148" s="3"/>
      <c r="O148" s="4"/>
    </row>
    <row r="149" spans="10:15" ht="21.75" customHeight="1" x14ac:dyDescent="0.15">
      <c r="J149" s="4"/>
      <c r="K149" s="4"/>
      <c r="L149" s="4"/>
      <c r="M149" s="29"/>
      <c r="N149" s="3"/>
      <c r="O149" s="4"/>
    </row>
    <row r="150" spans="10:15" ht="21.75" customHeight="1" x14ac:dyDescent="0.15">
      <c r="J150" s="4"/>
      <c r="K150" s="4"/>
      <c r="L150" s="4"/>
      <c r="M150" s="29"/>
      <c r="N150" s="3"/>
      <c r="O150" s="4"/>
    </row>
    <row r="151" spans="10:15" ht="21.75" customHeight="1" x14ac:dyDescent="0.15">
      <c r="J151" s="4"/>
      <c r="K151" s="4"/>
      <c r="L151" s="4"/>
      <c r="M151" s="29"/>
      <c r="N151" s="3"/>
      <c r="O151" s="4"/>
    </row>
    <row r="152" spans="10:15" ht="21.75" customHeight="1" x14ac:dyDescent="0.15">
      <c r="J152" s="4"/>
      <c r="K152" s="4"/>
      <c r="L152" s="4"/>
      <c r="M152" s="29"/>
      <c r="N152" s="3"/>
      <c r="O152" s="4"/>
    </row>
    <row r="153" spans="10:15" ht="21.75" customHeight="1" x14ac:dyDescent="0.15">
      <c r="J153" s="4"/>
      <c r="K153" s="4"/>
      <c r="L153" s="4"/>
      <c r="M153" s="29"/>
      <c r="N153" s="3"/>
      <c r="O153" s="4"/>
    </row>
    <row r="154" spans="10:15" ht="21.75" customHeight="1" x14ac:dyDescent="0.15">
      <c r="J154" s="4"/>
      <c r="K154" s="4"/>
      <c r="L154" s="4"/>
      <c r="M154" s="29"/>
      <c r="N154" s="3"/>
      <c r="O154" s="4"/>
    </row>
    <row r="155" spans="10:15" ht="21.75" customHeight="1" x14ac:dyDescent="0.15">
      <c r="J155" s="4"/>
      <c r="K155" s="4"/>
      <c r="L155" s="4"/>
      <c r="M155" s="29"/>
      <c r="N155" s="3"/>
      <c r="O155" s="4"/>
    </row>
    <row r="156" spans="10:15" ht="21.75" customHeight="1" x14ac:dyDescent="0.15">
      <c r="J156" s="4"/>
      <c r="K156" s="4"/>
      <c r="L156" s="4"/>
      <c r="M156" s="29"/>
      <c r="N156" s="3"/>
      <c r="O156" s="4"/>
    </row>
    <row r="157" spans="10:15" ht="21.75" customHeight="1" x14ac:dyDescent="0.15">
      <c r="J157" s="4"/>
      <c r="K157" s="4"/>
      <c r="L157" s="4"/>
      <c r="M157" s="29"/>
      <c r="N157" s="3"/>
      <c r="O157" s="4"/>
    </row>
    <row r="158" spans="10:15" ht="21.75" customHeight="1" x14ac:dyDescent="0.15">
      <c r="J158" s="4"/>
      <c r="K158" s="4"/>
      <c r="L158" s="4"/>
      <c r="M158" s="29"/>
      <c r="N158" s="3"/>
      <c r="O158" s="4"/>
    </row>
    <row r="159" spans="10:15" ht="21.75" customHeight="1" x14ac:dyDescent="0.15">
      <c r="J159" s="4"/>
      <c r="K159" s="4"/>
      <c r="L159" s="4"/>
      <c r="M159" s="29"/>
      <c r="N159" s="3"/>
      <c r="O159" s="4"/>
    </row>
    <row r="160" spans="10:15" ht="21.75" customHeight="1" x14ac:dyDescent="0.15">
      <c r="J160" s="4"/>
      <c r="K160" s="8"/>
      <c r="L160" s="8"/>
      <c r="M160" s="29"/>
      <c r="N160" s="3"/>
      <c r="O160" s="4"/>
    </row>
    <row r="161" spans="10:15" ht="21.75" customHeight="1" x14ac:dyDescent="0.15">
      <c r="J161" s="4"/>
      <c r="K161" s="18"/>
      <c r="L161" s="18"/>
      <c r="M161" s="29"/>
      <c r="N161" s="3"/>
      <c r="O161" s="4"/>
    </row>
    <row r="162" spans="10:15" ht="21.75" customHeight="1" x14ac:dyDescent="0.15">
      <c r="J162" s="4"/>
      <c r="K162" s="18"/>
      <c r="L162" s="18"/>
      <c r="M162" s="29"/>
      <c r="N162" s="3"/>
      <c r="O162" s="4"/>
    </row>
    <row r="163" spans="10:15" ht="21.75" customHeight="1" x14ac:dyDescent="0.15">
      <c r="J163" s="4"/>
      <c r="K163" s="8"/>
      <c r="L163" s="8"/>
      <c r="M163" s="29"/>
      <c r="N163" s="3"/>
      <c r="O163" s="4"/>
    </row>
    <row r="164" spans="10:15" ht="21.75" customHeight="1" x14ac:dyDescent="0.15">
      <c r="J164" s="4"/>
      <c r="K164" s="4"/>
      <c r="L164" s="4"/>
      <c r="M164" s="29"/>
      <c r="N164" s="3"/>
      <c r="O164" s="4"/>
    </row>
    <row r="165" spans="10:15" ht="21.75" customHeight="1" x14ac:dyDescent="0.15">
      <c r="J165" s="4"/>
      <c r="K165" s="4"/>
      <c r="L165" s="4"/>
      <c r="M165" s="29"/>
      <c r="N165" s="3"/>
      <c r="O165" s="4"/>
    </row>
    <row r="166" spans="10:15" ht="21.75" customHeight="1" x14ac:dyDescent="0.15">
      <c r="J166" s="4"/>
      <c r="K166" s="4"/>
      <c r="L166" s="4"/>
      <c r="M166" s="29"/>
      <c r="N166" s="3"/>
      <c r="O166" s="4"/>
    </row>
    <row r="167" spans="10:15" ht="21.75" customHeight="1" x14ac:dyDescent="0.15">
      <c r="J167" s="4"/>
      <c r="K167" s="4"/>
      <c r="L167" s="4"/>
      <c r="M167" s="29"/>
      <c r="N167" s="3"/>
      <c r="O167" s="4"/>
    </row>
    <row r="168" spans="10:15" ht="21.75" customHeight="1" x14ac:dyDescent="0.15">
      <c r="J168" s="4"/>
      <c r="K168" s="4"/>
      <c r="L168" s="4"/>
      <c r="M168" s="29"/>
      <c r="N168" s="3"/>
      <c r="O168" s="4"/>
    </row>
    <row r="169" spans="10:15" ht="21.75" customHeight="1" x14ac:dyDescent="0.15">
      <c r="J169" s="4"/>
      <c r="K169" s="4"/>
      <c r="L169" s="4"/>
      <c r="M169" s="29"/>
      <c r="N169" s="3"/>
      <c r="O169" s="4"/>
    </row>
    <row r="170" spans="10:15" ht="21.75" customHeight="1" x14ac:dyDescent="0.15">
      <c r="J170" s="4"/>
      <c r="K170" s="4"/>
      <c r="L170" s="4"/>
      <c r="M170" s="29"/>
      <c r="N170" s="3"/>
      <c r="O170" s="4"/>
    </row>
    <row r="171" spans="10:15" ht="21.75" customHeight="1" x14ac:dyDescent="0.15">
      <c r="J171" s="4"/>
      <c r="K171" s="4"/>
      <c r="L171" s="4"/>
      <c r="M171" s="29"/>
      <c r="N171" s="3"/>
      <c r="O171" s="4"/>
    </row>
    <row r="172" spans="10:15" ht="21.75" customHeight="1" x14ac:dyDescent="0.15">
      <c r="J172" s="4"/>
      <c r="K172" s="4"/>
      <c r="L172" s="4"/>
      <c r="M172" s="29"/>
      <c r="N172" s="3"/>
      <c r="O172" s="4"/>
    </row>
    <row r="173" spans="10:15" ht="21.75" customHeight="1" x14ac:dyDescent="0.15">
      <c r="J173" s="4"/>
      <c r="K173" s="4"/>
      <c r="L173" s="4"/>
      <c r="M173" s="29"/>
      <c r="N173" s="3"/>
      <c r="O173" s="4"/>
    </row>
    <row r="174" spans="10:15" ht="21.75" customHeight="1" x14ac:dyDescent="0.15">
      <c r="J174" s="4"/>
      <c r="K174" s="4"/>
      <c r="L174" s="4"/>
      <c r="M174" s="29"/>
      <c r="N174" s="3"/>
      <c r="O174" s="4"/>
    </row>
    <row r="175" spans="10:15" ht="21.75" customHeight="1" x14ac:dyDescent="0.15">
      <c r="J175" s="4"/>
      <c r="K175" s="4"/>
      <c r="L175" s="4"/>
      <c r="M175" s="29"/>
      <c r="N175" s="3"/>
      <c r="O175" s="4"/>
    </row>
    <row r="176" spans="10:15" ht="21.75" customHeight="1" x14ac:dyDescent="0.15">
      <c r="J176" s="4"/>
      <c r="K176" s="8"/>
      <c r="L176" s="8"/>
      <c r="M176" s="29"/>
      <c r="N176" s="3"/>
      <c r="O176" s="4"/>
    </row>
    <row r="177" spans="10:15" ht="21.75" customHeight="1" x14ac:dyDescent="0.15">
      <c r="J177" s="4"/>
      <c r="K177" s="18"/>
      <c r="L177" s="18"/>
      <c r="M177" s="29"/>
      <c r="N177" s="3"/>
      <c r="O177" s="4"/>
    </row>
    <row r="178" spans="10:15" ht="21.75" customHeight="1" x14ac:dyDescent="0.15">
      <c r="J178" s="4"/>
      <c r="K178" s="18"/>
      <c r="L178" s="18"/>
      <c r="M178" s="29"/>
      <c r="N178" s="3"/>
      <c r="O178" s="4"/>
    </row>
    <row r="179" spans="10:15" ht="21.75" customHeight="1" x14ac:dyDescent="0.15">
      <c r="J179" s="4"/>
      <c r="K179" s="8"/>
      <c r="L179" s="8"/>
      <c r="M179" s="29"/>
      <c r="N179" s="3"/>
      <c r="O179" s="4"/>
    </row>
    <row r="180" spans="10:15" ht="21.75" customHeight="1" x14ac:dyDescent="0.15">
      <c r="J180" s="4"/>
      <c r="K180" s="4"/>
      <c r="L180" s="4"/>
      <c r="M180" s="29"/>
      <c r="N180" s="3"/>
      <c r="O180" s="4"/>
    </row>
    <row r="181" spans="10:15" x14ac:dyDescent="0.15">
      <c r="J181" s="4"/>
      <c r="K181" s="4"/>
      <c r="L181" s="4"/>
      <c r="M181" s="4"/>
      <c r="N181" s="3"/>
      <c r="O181" s="4"/>
    </row>
    <row r="182" spans="10:15" x14ac:dyDescent="0.15">
      <c r="J182" s="4"/>
      <c r="K182" s="4"/>
      <c r="L182" s="4"/>
      <c r="M182" s="4"/>
      <c r="N182" s="3"/>
      <c r="O182" s="4"/>
    </row>
    <row r="183" spans="10:15" x14ac:dyDescent="0.15">
      <c r="J183" s="4"/>
      <c r="K183" s="4"/>
      <c r="L183" s="4"/>
      <c r="M183" s="4"/>
      <c r="N183" s="3"/>
      <c r="O183" s="4"/>
    </row>
    <row r="184" spans="10:15" x14ac:dyDescent="0.15">
      <c r="J184" s="4"/>
      <c r="K184" s="4"/>
      <c r="L184" s="4"/>
      <c r="M184" s="4"/>
      <c r="N184" s="3"/>
      <c r="O184" s="4"/>
    </row>
    <row r="185" spans="10:15" x14ac:dyDescent="0.15">
      <c r="J185" s="4"/>
      <c r="K185" s="4"/>
      <c r="L185" s="4"/>
      <c r="M185" s="4"/>
      <c r="N185" s="3"/>
      <c r="O185" s="4"/>
    </row>
    <row r="186" spans="10:15" x14ac:dyDescent="0.15">
      <c r="J186" s="4"/>
      <c r="K186" s="4"/>
      <c r="L186" s="4"/>
      <c r="M186" s="4"/>
      <c r="N186" s="3"/>
      <c r="O186" s="4"/>
    </row>
    <row r="187" spans="10:15" x14ac:dyDescent="0.15">
      <c r="J187" s="4"/>
      <c r="K187" s="4"/>
      <c r="L187" s="4"/>
      <c r="M187" s="4"/>
      <c r="N187" s="3"/>
      <c r="O187" s="4"/>
    </row>
    <row r="188" spans="10:15" x14ac:dyDescent="0.15">
      <c r="J188" s="4"/>
      <c r="K188" s="4"/>
      <c r="L188" s="4"/>
      <c r="M188" s="4"/>
      <c r="N188" s="3"/>
      <c r="O188" s="4"/>
    </row>
    <row r="189" spans="10:15" x14ac:dyDescent="0.15">
      <c r="J189" s="4"/>
      <c r="K189" s="4"/>
      <c r="L189" s="4"/>
      <c r="M189" s="4"/>
      <c r="N189" s="3"/>
      <c r="O189" s="4"/>
    </row>
    <row r="190" spans="10:15" x14ac:dyDescent="0.15">
      <c r="J190" s="4"/>
      <c r="K190" s="4"/>
      <c r="L190" s="4"/>
      <c r="M190" s="4"/>
      <c r="N190" s="3"/>
      <c r="O190" s="4"/>
    </row>
    <row r="191" spans="10:15" x14ac:dyDescent="0.15">
      <c r="J191" s="4"/>
      <c r="K191" s="4"/>
      <c r="L191" s="4"/>
      <c r="M191" s="4"/>
      <c r="N191" s="3"/>
      <c r="O191" s="4"/>
    </row>
    <row r="192" spans="10:15" x14ac:dyDescent="0.15">
      <c r="J192" s="4"/>
      <c r="K192" s="4"/>
      <c r="L192" s="4"/>
      <c r="M192" s="4"/>
      <c r="N192" s="3"/>
      <c r="O192" s="4"/>
    </row>
    <row r="193" spans="10:15" x14ac:dyDescent="0.15">
      <c r="J193" s="4"/>
      <c r="K193" s="4"/>
      <c r="L193" s="4"/>
      <c r="M193" s="4"/>
      <c r="N193" s="3"/>
      <c r="O193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LISTBOX_DATA!$F$1:$F$2</xm:f>
          </x14:formula1>
          <xm:sqref>B9:B10 A20:A21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249977111117893"/>
    <pageSetUpPr fitToPage="1"/>
  </sheetPr>
  <dimension ref="A1:P216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48" customFormat="1" ht="31.5" x14ac:dyDescent="0.15">
      <c r="A1" s="47" t="s">
        <v>120</v>
      </c>
      <c r="N1" s="49"/>
    </row>
    <row r="2" spans="1:16" s="48" customFormat="1" x14ac:dyDescent="0.15">
      <c r="A2" s="50" t="s">
        <v>67</v>
      </c>
      <c r="N2" s="51"/>
    </row>
    <row r="3" spans="1:16" s="48" customFormat="1" x14ac:dyDescent="0.15">
      <c r="A3" s="50" t="s">
        <v>67</v>
      </c>
      <c r="N3" s="51"/>
    </row>
    <row r="4" spans="1:16" s="48" customFormat="1" x14ac:dyDescent="0.15">
      <c r="A4" s="50" t="s">
        <v>107</v>
      </c>
      <c r="N4" s="51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0</v>
      </c>
      <c r="B9" s="1" t="s">
        <v>263</v>
      </c>
      <c r="D9" s="5" t="s">
        <v>73</v>
      </c>
      <c r="E9" s="20">
        <f>E13-SUM(E10:E12)</f>
        <v>30</v>
      </c>
      <c r="L9" s="57"/>
      <c r="M9" s="57"/>
      <c r="N9" s="57"/>
      <c r="O9" s="57"/>
      <c r="P9" s="57"/>
    </row>
    <row r="10" spans="1:16" x14ac:dyDescent="0.15">
      <c r="A10" s="5" t="s">
        <v>282</v>
      </c>
      <c r="B10" s="30" t="s">
        <v>259</v>
      </c>
      <c r="D10" s="5" t="s">
        <v>4</v>
      </c>
      <c r="E10" s="22">
        <f>COUNTIF(TestScriptTable3[Result],"Passed")</f>
        <v>0</v>
      </c>
      <c r="L10" s="57"/>
      <c r="M10" s="57"/>
      <c r="N10" s="57"/>
      <c r="O10" s="57"/>
      <c r="P10" s="57"/>
    </row>
    <row r="11" spans="1:16" x14ac:dyDescent="0.15">
      <c r="A11" s="5" t="s">
        <v>80</v>
      </c>
      <c r="B11" s="1">
        <v>1366</v>
      </c>
      <c r="D11" s="5" t="s">
        <v>5</v>
      </c>
      <c r="E11" s="21">
        <f>COUNTIF(TestScriptTable3[Result],"Failed")</f>
        <v>0</v>
      </c>
      <c r="L11" s="57"/>
      <c r="M11" s="57"/>
      <c r="N11" s="57"/>
      <c r="O11" s="57"/>
      <c r="P11" s="57"/>
    </row>
    <row r="12" spans="1:16" x14ac:dyDescent="0.15">
      <c r="A12" s="5" t="s">
        <v>81</v>
      </c>
      <c r="B12" s="1">
        <v>768</v>
      </c>
      <c r="D12" s="5" t="s">
        <v>8</v>
      </c>
      <c r="E12" s="19">
        <f>COUNTIF(TestScriptTable3[Result],"Skipped*")</f>
        <v>0</v>
      </c>
      <c r="L12" s="57"/>
      <c r="M12" s="57"/>
      <c r="N12" s="57"/>
      <c r="O12" s="57"/>
      <c r="P12" s="57"/>
    </row>
    <row r="13" spans="1:16" x14ac:dyDescent="0.15">
      <c r="A13" s="5" t="s">
        <v>29</v>
      </c>
      <c r="D13" s="5" t="s">
        <v>6</v>
      </c>
      <c r="E13" s="6">
        <f>COUNTA(TestScriptTable3[runTarget])+COUNTBLANK(TestScriptTable3[runTarget])</f>
        <v>30</v>
      </c>
      <c r="L13" s="57"/>
      <c r="M13" s="57"/>
      <c r="N13" s="57"/>
      <c r="O13" s="57"/>
      <c r="P13" s="57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57"/>
      <c r="M14" s="57"/>
      <c r="N14" s="57"/>
      <c r="O14" s="57"/>
      <c r="P14" s="57"/>
    </row>
    <row r="15" spans="1:16" x14ac:dyDescent="0.15">
      <c r="A15" s="5" t="s">
        <v>245</v>
      </c>
      <c r="B15" s="1" t="s">
        <v>79</v>
      </c>
    </row>
    <row r="16" spans="1:16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4" t="s">
        <v>116</v>
      </c>
      <c r="B18" s="44"/>
      <c r="C18" s="45"/>
      <c r="D18" s="31" t="s">
        <v>21</v>
      </c>
      <c r="E18" s="31"/>
      <c r="F18" s="31"/>
      <c r="G18" s="31"/>
      <c r="H18" s="28" t="s">
        <v>74</v>
      </c>
      <c r="I18" s="32"/>
      <c r="J18" s="32"/>
      <c r="K18" s="32"/>
      <c r="L18" s="33" t="s">
        <v>32</v>
      </c>
      <c r="M18" s="33"/>
      <c r="N18" s="33"/>
      <c r="O18" s="33"/>
      <c r="P18" s="33"/>
    </row>
    <row r="19" spans="1:16" s="15" customFormat="1" ht="15.75" x14ac:dyDescent="0.1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 x14ac:dyDescent="0.15">
      <c r="A20" s="24"/>
      <c r="B20" s="4" t="s">
        <v>290</v>
      </c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 x14ac:dyDescent="0.15">
      <c r="A21" s="24" t="s">
        <v>79</v>
      </c>
      <c r="B21" s="1" t="s">
        <v>248</v>
      </c>
      <c r="C21" s="13"/>
      <c r="D21" s="4" t="s">
        <v>37</v>
      </c>
      <c r="E21" s="4"/>
      <c r="F21" s="4" t="s">
        <v>249</v>
      </c>
      <c r="G21" s="4"/>
      <c r="H21" s="4" t="s">
        <v>41</v>
      </c>
      <c r="I21" s="4"/>
      <c r="J21" s="4"/>
      <c r="K21" s="4" t="s">
        <v>250</v>
      </c>
      <c r="L21" s="4"/>
      <c r="M21"/>
      <c r="N21" s="3"/>
      <c r="O21" s="4"/>
    </row>
    <row r="22" spans="1:16" ht="21.75" customHeight="1" x14ac:dyDescent="0.15">
      <c r="A22" s="24" t="s">
        <v>79</v>
      </c>
      <c r="B22" s="1" t="s">
        <v>248</v>
      </c>
      <c r="C22" s="13"/>
      <c r="D22" s="4" t="s">
        <v>70</v>
      </c>
      <c r="E22" s="4" t="s">
        <v>49</v>
      </c>
      <c r="F22" s="4" t="s">
        <v>236</v>
      </c>
      <c r="G22" s="4" t="s">
        <v>251</v>
      </c>
      <c r="H22" s="4" t="s">
        <v>42</v>
      </c>
      <c r="I22" s="4"/>
      <c r="J22" s="4"/>
      <c r="K22" s="4" t="s">
        <v>252</v>
      </c>
      <c r="L22" s="4"/>
      <c r="M22"/>
      <c r="N22" s="3"/>
      <c r="O22" s="4"/>
    </row>
    <row r="23" spans="1:16" ht="21.75" customHeight="1" x14ac:dyDescent="0.15">
      <c r="A23" s="24" t="s">
        <v>79</v>
      </c>
      <c r="B23" s="1" t="s">
        <v>248</v>
      </c>
      <c r="C23" s="13"/>
      <c r="D23" s="4" t="s">
        <v>70</v>
      </c>
      <c r="E23" s="4" t="s">
        <v>49</v>
      </c>
      <c r="F23" s="4" t="s">
        <v>237</v>
      </c>
      <c r="G23" s="4" t="s">
        <v>253</v>
      </c>
      <c r="H23" s="4" t="s">
        <v>42</v>
      </c>
      <c r="I23" s="4"/>
      <c r="J23" s="4"/>
      <c r="K23" s="4" t="s">
        <v>252</v>
      </c>
      <c r="L23" s="4"/>
      <c r="M23"/>
      <c r="N23" s="3"/>
      <c r="O23" s="4"/>
    </row>
    <row r="24" spans="1:16" ht="21.75" customHeight="1" x14ac:dyDescent="0.15">
      <c r="A24" s="24" t="s">
        <v>79</v>
      </c>
      <c r="B24" s="1" t="s">
        <v>248</v>
      </c>
      <c r="C24" s="13"/>
      <c r="D24" s="4" t="s">
        <v>39</v>
      </c>
      <c r="E24" s="4" t="s">
        <v>49</v>
      </c>
      <c r="F24" s="4" t="s">
        <v>238</v>
      </c>
      <c r="G24" s="4"/>
      <c r="H24" s="4" t="s">
        <v>42</v>
      </c>
      <c r="I24" s="4"/>
      <c r="J24" s="4"/>
      <c r="K24" s="4" t="s">
        <v>261</v>
      </c>
      <c r="L24" s="4"/>
      <c r="M24"/>
      <c r="N24" s="3"/>
      <c r="O24" s="4"/>
    </row>
    <row r="25" spans="1:16" ht="21.75" customHeight="1" x14ac:dyDescent="0.15">
      <c r="A25" s="24" t="s">
        <v>79</v>
      </c>
      <c r="B25" s="1" t="s">
        <v>248</v>
      </c>
      <c r="C25" s="13"/>
      <c r="D25" s="4" t="s">
        <v>70</v>
      </c>
      <c r="E25" s="4" t="s">
        <v>49</v>
      </c>
      <c r="F25" s="4" t="s">
        <v>239</v>
      </c>
      <c r="G25" s="4" t="str">
        <f>B20</f>
        <v xml:space="preserve">/**************************/_x000D_
Spreadsheetnium TEST RESULT_x000D_
/**************************/_x000D_
Test title : Spreadsheetnium command reference_x000D_
sheet name : sample_commandReference_x000D_
_x000D_
Browser : IE_x000D_
baseurl : http://automationpractice.com_x000D_
window Width : 1366_x000D_
window Height : 768_x000D_
ScreenShot : c:\temp\SpreadSheetnium\sample_x000D_
_x000D_
/**************************/_x000D_
Not tested : 40_x000D_
Passed : 4_x000D_
Failed: 1_x000D_
Skipped : 1_x000D_
Total : 46_x000D_
Progress rate : 13%_x000D_
/**************************/_x000D_
_x000D_
2017/01/09 0:11:29_x000D_
Procedure: runScript_x000D_
Err number: 23_x000D_
NoSuchWindowError
Window not found: Unable to get browser_x000D_
_x000D_
_x000D_
_x000D_
https://ssugiya.github.io/Spreadsheetnium/_x000D_
</v>
      </c>
      <c r="H25" s="4" t="s">
        <v>42</v>
      </c>
      <c r="I25" s="4"/>
      <c r="J25" s="4"/>
      <c r="K25" s="4" t="s">
        <v>260</v>
      </c>
      <c r="L25" s="4"/>
      <c r="M25"/>
      <c r="N25" s="3"/>
      <c r="O25" s="4"/>
    </row>
    <row r="26" spans="1:16" ht="21.75" customHeight="1" x14ac:dyDescent="0.15">
      <c r="A26" s="24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 x14ac:dyDescent="0.15">
      <c r="A27" s="24" t="s">
        <v>79</v>
      </c>
      <c r="B27" s="1" t="s">
        <v>254</v>
      </c>
      <c r="C27" s="13"/>
      <c r="D27" s="4" t="s">
        <v>37</v>
      </c>
      <c r="E27" s="4"/>
      <c r="F27" s="4" t="s">
        <v>255</v>
      </c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 x14ac:dyDescent="0.15">
      <c r="A28" s="24" t="s">
        <v>79</v>
      </c>
      <c r="B28" s="1" t="s">
        <v>254</v>
      </c>
      <c r="C28" s="13"/>
      <c r="D28" s="4" t="s">
        <v>37</v>
      </c>
      <c r="E28" s="4"/>
      <c r="F28" s="4" t="s">
        <v>256</v>
      </c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 x14ac:dyDescent="0.15">
      <c r="A29" s="24" t="s">
        <v>79</v>
      </c>
      <c r="B29" s="1" t="s">
        <v>254</v>
      </c>
      <c r="C29" s="13"/>
      <c r="D29" s="4" t="s">
        <v>70</v>
      </c>
      <c r="E29" s="4" t="s">
        <v>49</v>
      </c>
      <c r="F29" s="4" t="s">
        <v>240</v>
      </c>
      <c r="G29" s="4" t="s">
        <v>251</v>
      </c>
      <c r="H29" s="4"/>
      <c r="I29" s="4"/>
      <c r="J29" s="4"/>
      <c r="K29" s="4"/>
      <c r="L29" s="4"/>
      <c r="M29"/>
      <c r="N29" s="3"/>
      <c r="O29" s="4"/>
    </row>
    <row r="30" spans="1:16" ht="21.75" customHeight="1" x14ac:dyDescent="0.15">
      <c r="A30" s="24" t="s">
        <v>79</v>
      </c>
      <c r="B30" s="1" t="s">
        <v>254</v>
      </c>
      <c r="C30" s="13"/>
      <c r="D30" s="4" t="s">
        <v>70</v>
      </c>
      <c r="E30" s="4" t="s">
        <v>49</v>
      </c>
      <c r="F30" s="4" t="s">
        <v>237</v>
      </c>
      <c r="G30" s="4" t="s">
        <v>253</v>
      </c>
      <c r="H30" s="4"/>
      <c r="I30" s="4"/>
      <c r="J30" s="4"/>
      <c r="K30" s="4"/>
      <c r="L30" s="4"/>
      <c r="M30"/>
      <c r="N30" s="3"/>
      <c r="O30" s="4"/>
    </row>
    <row r="31" spans="1:16" ht="21.75" customHeight="1" x14ac:dyDescent="0.15">
      <c r="A31" s="24" t="s">
        <v>79</v>
      </c>
      <c r="B31" s="1" t="s">
        <v>254</v>
      </c>
      <c r="C31" s="13"/>
      <c r="D31" s="4" t="s">
        <v>39</v>
      </c>
      <c r="E31" s="4" t="s">
        <v>49</v>
      </c>
      <c r="F31" s="4" t="s">
        <v>241</v>
      </c>
      <c r="G31" s="4"/>
      <c r="H31" s="4"/>
      <c r="I31" s="4"/>
      <c r="J31" s="4"/>
      <c r="K31" s="4"/>
      <c r="L31" s="4"/>
      <c r="M31"/>
      <c r="N31" s="3"/>
      <c r="O31" s="4"/>
    </row>
    <row r="32" spans="1:16" ht="21.75" customHeight="1" x14ac:dyDescent="0.15">
      <c r="A32" s="24" t="s">
        <v>79</v>
      </c>
      <c r="B32" s="1" t="s">
        <v>254</v>
      </c>
      <c r="C32" s="13"/>
      <c r="D32" s="4" t="s">
        <v>37</v>
      </c>
      <c r="E32" s="4"/>
      <c r="F32" s="4" t="s">
        <v>257</v>
      </c>
      <c r="G32" s="4"/>
      <c r="H32" s="4"/>
      <c r="I32" s="4"/>
      <c r="J32" s="4"/>
      <c r="K32" s="4"/>
      <c r="L32" s="4"/>
      <c r="M32"/>
      <c r="N32" s="3"/>
      <c r="O32" s="4"/>
    </row>
    <row r="33" spans="1:15" ht="21.75" customHeight="1" x14ac:dyDescent="0.15">
      <c r="A33" s="24" t="s">
        <v>79</v>
      </c>
      <c r="B33" s="1" t="s">
        <v>254</v>
      </c>
      <c r="C33" s="13"/>
      <c r="D33" s="4" t="s">
        <v>70</v>
      </c>
      <c r="E33" s="4" t="s">
        <v>49</v>
      </c>
      <c r="F33" s="4" t="s">
        <v>242</v>
      </c>
      <c r="G33" s="4" t="s">
        <v>258</v>
      </c>
      <c r="H33" s="4"/>
      <c r="I33" s="4"/>
      <c r="J33" s="4"/>
      <c r="K33" s="4"/>
      <c r="L33" s="4"/>
      <c r="M33"/>
      <c r="N33" s="3"/>
      <c r="O33" s="4"/>
    </row>
    <row r="34" spans="1:15" ht="21.75" customHeight="1" x14ac:dyDescent="0.15">
      <c r="A34" s="24" t="s">
        <v>79</v>
      </c>
      <c r="B34" s="1" t="s">
        <v>254</v>
      </c>
      <c r="C34" s="13"/>
      <c r="D34" s="4" t="s">
        <v>70</v>
      </c>
      <c r="E34" s="4" t="s">
        <v>49</v>
      </c>
      <c r="F34" s="4" t="s">
        <v>243</v>
      </c>
      <c r="G34" s="4" t="str">
        <f>B20</f>
        <v xml:space="preserve">/**************************/_x000D_
Spreadsheetnium TEST RESULT_x000D_
/**************************/_x000D_
Test title : Spreadsheetnium command reference_x000D_
sheet name : sample_commandReference_x000D_
_x000D_
Browser : IE_x000D_
baseurl : http://automationpractice.com_x000D_
window Width : 1366_x000D_
window Height : 768_x000D_
ScreenShot : c:\temp\SpreadSheetnium\sample_x000D_
_x000D_
/**************************/_x000D_
Not tested : 40_x000D_
Passed : 4_x000D_
Failed: 1_x000D_
Skipped : 1_x000D_
Total : 46_x000D_
Progress rate : 13%_x000D_
/**************************/_x000D_
_x000D_
2017/01/09 0:11:29_x000D_
Procedure: runScript_x000D_
Err number: 23_x000D_
NoSuchWindowError
Window not found: Unable to get browser_x000D_
_x000D_
_x000D_
_x000D_
https://ssugiya.github.io/Spreadsheetnium/_x000D_
</v>
      </c>
      <c r="H34" s="4"/>
      <c r="I34" s="4"/>
      <c r="J34" s="4"/>
      <c r="K34" s="4"/>
      <c r="L34" s="4"/>
      <c r="M34"/>
      <c r="N34" s="3"/>
      <c r="O34" s="4"/>
    </row>
    <row r="35" spans="1:15" ht="21.75" customHeight="1" x14ac:dyDescent="0.15">
      <c r="A35" s="24" t="s">
        <v>79</v>
      </c>
      <c r="B35" s="1" t="s">
        <v>254</v>
      </c>
      <c r="C35" s="13"/>
      <c r="D35" s="4" t="s">
        <v>39</v>
      </c>
      <c r="E35" s="4" t="s">
        <v>49</v>
      </c>
      <c r="F35" s="4" t="s">
        <v>244</v>
      </c>
      <c r="G35" s="4"/>
      <c r="H35" s="4"/>
      <c r="I35" s="4"/>
      <c r="J35" s="4"/>
      <c r="K35" s="4"/>
      <c r="L35" s="4"/>
      <c r="M35"/>
      <c r="N35" s="3"/>
      <c r="O35" s="4"/>
    </row>
    <row r="36" spans="1:15" ht="21.75" customHeight="1" x14ac:dyDescent="0.15">
      <c r="A36" s="24"/>
      <c r="C36" s="13"/>
      <c r="D36" s="4"/>
      <c r="E36" s="4"/>
      <c r="F36" s="4"/>
      <c r="G36" s="4"/>
      <c r="H36" s="4"/>
      <c r="I36" s="4"/>
      <c r="J36" s="4"/>
      <c r="K36" s="4"/>
      <c r="L36" s="4"/>
      <c r="M36"/>
      <c r="N36" s="3"/>
      <c r="O36" s="4"/>
    </row>
    <row r="37" spans="1:15" ht="21.75" customHeight="1" x14ac:dyDescent="0.15">
      <c r="A37" s="24" t="s">
        <v>79</v>
      </c>
      <c r="B37" s="1" t="s">
        <v>266</v>
      </c>
      <c r="C37" s="13"/>
      <c r="D37" s="4" t="s">
        <v>267</v>
      </c>
      <c r="E37" s="4"/>
      <c r="F37" s="4" t="s">
        <v>268</v>
      </c>
      <c r="G37" s="4"/>
      <c r="H37" s="4"/>
      <c r="I37" s="4"/>
      <c r="J37" s="4"/>
      <c r="K37" s="4"/>
      <c r="L37" s="4"/>
      <c r="M37"/>
      <c r="N37" s="3"/>
      <c r="O37" s="4"/>
    </row>
    <row r="38" spans="1:15" ht="21.75" customHeight="1" x14ac:dyDescent="0.15">
      <c r="A38" s="24" t="s">
        <v>79</v>
      </c>
      <c r="B38" s="1" t="s">
        <v>266</v>
      </c>
      <c r="C38" s="13"/>
      <c r="D38" s="4" t="s">
        <v>70</v>
      </c>
      <c r="E38" s="4" t="s">
        <v>269</v>
      </c>
      <c r="F38" s="4" t="s">
        <v>271</v>
      </c>
      <c r="G38" s="4" t="s">
        <v>251</v>
      </c>
      <c r="H38" s="4"/>
      <c r="I38" s="4"/>
      <c r="J38" s="4"/>
      <c r="K38" s="4"/>
      <c r="L38" s="4"/>
      <c r="M38"/>
      <c r="N38" s="3"/>
      <c r="O38" s="4"/>
    </row>
    <row r="39" spans="1:15" ht="21.75" customHeight="1" x14ac:dyDescent="0.15">
      <c r="A39" s="24" t="s">
        <v>79</v>
      </c>
      <c r="B39" s="1" t="s">
        <v>266</v>
      </c>
      <c r="C39" s="13"/>
      <c r="D39" s="4" t="s">
        <v>39</v>
      </c>
      <c r="E39" s="4" t="s">
        <v>269</v>
      </c>
      <c r="F39" s="4" t="s">
        <v>272</v>
      </c>
      <c r="G39" s="53"/>
      <c r="H39" s="4"/>
      <c r="I39" s="4"/>
      <c r="J39" s="4"/>
      <c r="K39" s="4"/>
      <c r="L39" s="4"/>
      <c r="M39"/>
      <c r="N39" s="3"/>
      <c r="O39" s="4"/>
    </row>
    <row r="40" spans="1:15" ht="21.75" customHeight="1" x14ac:dyDescent="0.15">
      <c r="A40" s="24" t="s">
        <v>79</v>
      </c>
      <c r="B40" s="1" t="s">
        <v>266</v>
      </c>
      <c r="C40" s="13"/>
      <c r="D40" s="4" t="s">
        <v>70</v>
      </c>
      <c r="E40" s="4" t="s">
        <v>269</v>
      </c>
      <c r="F40" s="4" t="s">
        <v>270</v>
      </c>
      <c r="G40" s="4" t="s">
        <v>251</v>
      </c>
      <c r="H40" s="4"/>
      <c r="I40" s="4"/>
      <c r="J40" s="4"/>
      <c r="K40" s="4"/>
      <c r="L40" s="4"/>
      <c r="M40"/>
      <c r="N40" s="3"/>
      <c r="O40" s="4"/>
    </row>
    <row r="41" spans="1:15" ht="21.75" customHeight="1" x14ac:dyDescent="0.15">
      <c r="A41" s="24" t="s">
        <v>79</v>
      </c>
      <c r="B41" s="1" t="s">
        <v>266</v>
      </c>
      <c r="C41" s="13"/>
      <c r="D41" s="4" t="s">
        <v>70</v>
      </c>
      <c r="E41" s="4" t="s">
        <v>269</v>
      </c>
      <c r="F41" s="4" t="s">
        <v>273</v>
      </c>
      <c r="G41" s="4" t="s">
        <v>253</v>
      </c>
      <c r="H41" s="4"/>
      <c r="I41" s="4"/>
      <c r="J41" s="4"/>
      <c r="K41" s="4"/>
      <c r="L41" s="4"/>
      <c r="M41"/>
      <c r="N41" s="3"/>
      <c r="O41" s="4"/>
    </row>
    <row r="42" spans="1:15" ht="21.75" customHeight="1" x14ac:dyDescent="0.15">
      <c r="A42" s="24" t="s">
        <v>79</v>
      </c>
      <c r="B42" s="1" t="s">
        <v>266</v>
      </c>
      <c r="C42" s="13"/>
      <c r="D42" s="4" t="s">
        <v>39</v>
      </c>
      <c r="E42" s="4" t="s">
        <v>269</v>
      </c>
      <c r="F42" s="4" t="s">
        <v>274</v>
      </c>
      <c r="G42" s="4"/>
      <c r="H42" s="4"/>
      <c r="I42" s="4"/>
      <c r="J42" s="4"/>
      <c r="K42" s="4"/>
      <c r="L42" s="4"/>
      <c r="M42"/>
      <c r="N42" s="3"/>
      <c r="O42" s="4"/>
    </row>
    <row r="43" spans="1:15" ht="21.75" customHeight="1" x14ac:dyDescent="0.15">
      <c r="A43" s="24" t="s">
        <v>79</v>
      </c>
      <c r="B43" s="1" t="s">
        <v>266</v>
      </c>
      <c r="C43" s="13"/>
      <c r="D43" s="4" t="s">
        <v>39</v>
      </c>
      <c r="E43" s="4" t="s">
        <v>269</v>
      </c>
      <c r="F43" s="4" t="s">
        <v>279</v>
      </c>
      <c r="G43" s="53"/>
      <c r="H43" s="4"/>
      <c r="I43" s="4"/>
      <c r="J43" s="4"/>
      <c r="K43" s="4"/>
      <c r="L43" s="4"/>
      <c r="M43"/>
      <c r="N43" s="3"/>
      <c r="O43" s="4"/>
    </row>
    <row r="44" spans="1:15" ht="21.75" customHeight="1" x14ac:dyDescent="0.15">
      <c r="A44" s="24" t="s">
        <v>79</v>
      </c>
      <c r="B44" s="1" t="s">
        <v>266</v>
      </c>
      <c r="C44" s="13"/>
      <c r="D44" s="4" t="s">
        <v>39</v>
      </c>
      <c r="E44" s="4" t="s">
        <v>269</v>
      </c>
      <c r="F44" s="4" t="s">
        <v>280</v>
      </c>
      <c r="G44" s="53"/>
      <c r="H44" s="4"/>
      <c r="I44" s="4"/>
      <c r="J44" s="4"/>
      <c r="K44" s="4"/>
      <c r="L44" s="4"/>
      <c r="M44"/>
      <c r="N44" s="3"/>
      <c r="O44" s="4"/>
    </row>
    <row r="45" spans="1:15" ht="21.75" customHeight="1" x14ac:dyDescent="0.15">
      <c r="A45" s="24" t="s">
        <v>79</v>
      </c>
      <c r="B45" s="1" t="s">
        <v>266</v>
      </c>
      <c r="C45" s="13"/>
      <c r="D45" s="4" t="s">
        <v>70</v>
      </c>
      <c r="E45" s="4" t="s">
        <v>49</v>
      </c>
      <c r="F45" s="4" t="s">
        <v>275</v>
      </c>
      <c r="G45" s="4" t="s">
        <v>251</v>
      </c>
      <c r="H45" s="4"/>
      <c r="I45" s="4"/>
      <c r="J45" s="4"/>
      <c r="K45" s="4"/>
      <c r="L45" s="4"/>
      <c r="M45"/>
      <c r="N45" s="3"/>
      <c r="O45" s="4"/>
    </row>
    <row r="46" spans="1:15" ht="21.75" customHeight="1" x14ac:dyDescent="0.15">
      <c r="A46" s="24" t="s">
        <v>79</v>
      </c>
      <c r="B46" s="1" t="s">
        <v>266</v>
      </c>
      <c r="C46" s="13"/>
      <c r="D46" s="4" t="s">
        <v>70</v>
      </c>
      <c r="E46" s="4" t="s">
        <v>49</v>
      </c>
      <c r="F46" s="4" t="s">
        <v>276</v>
      </c>
      <c r="G46" s="4" t="s">
        <v>277</v>
      </c>
      <c r="H46" s="4"/>
      <c r="I46" s="4"/>
      <c r="J46" s="4"/>
      <c r="K46" s="4"/>
      <c r="L46" s="4"/>
      <c r="M46"/>
      <c r="N46" s="3"/>
      <c r="O46" s="4"/>
    </row>
    <row r="47" spans="1:15" ht="21.75" customHeight="1" x14ac:dyDescent="0.15">
      <c r="A47" s="24" t="s">
        <v>79</v>
      </c>
      <c r="B47" s="1" t="s">
        <v>266</v>
      </c>
      <c r="C47" s="13"/>
      <c r="D47" s="4" t="s">
        <v>70</v>
      </c>
      <c r="E47" s="4" t="s">
        <v>49</v>
      </c>
      <c r="F47" s="4" t="s">
        <v>278</v>
      </c>
      <c r="G47" s="25" t="str">
        <f>B20</f>
        <v xml:space="preserve">/**************************/_x000D_
Spreadsheetnium TEST RESULT_x000D_
/**************************/_x000D_
Test title : Spreadsheetnium command reference_x000D_
sheet name : sample_commandReference_x000D_
_x000D_
Browser : IE_x000D_
baseurl : http://automationpractice.com_x000D_
window Width : 1366_x000D_
window Height : 768_x000D_
ScreenShot : c:\temp\SpreadSheetnium\sample_x000D_
_x000D_
/**************************/_x000D_
Not tested : 40_x000D_
Passed : 4_x000D_
Failed: 1_x000D_
Skipped : 1_x000D_
Total : 46_x000D_
Progress rate : 13%_x000D_
/**************************/_x000D_
_x000D_
2017/01/09 0:11:29_x000D_
Procedure: runScript_x000D_
Err number: 23_x000D_
NoSuchWindowError
Window not found: Unable to get browser_x000D_
_x000D_
_x000D_
_x000D_
https://ssugiya.github.io/Spreadsheetnium/_x000D_
</v>
      </c>
      <c r="H47" s="4"/>
      <c r="I47" s="4"/>
      <c r="J47" s="4"/>
      <c r="K47" s="4"/>
      <c r="L47" s="4"/>
      <c r="M47"/>
      <c r="N47" s="3"/>
      <c r="O47" s="4"/>
    </row>
    <row r="48" spans="1:15" ht="21.75" customHeight="1" x14ac:dyDescent="0.15">
      <c r="A48" s="24" t="s">
        <v>79</v>
      </c>
      <c r="B48" s="1" t="s">
        <v>266</v>
      </c>
      <c r="C48" s="13"/>
      <c r="D48" s="4" t="s">
        <v>39</v>
      </c>
      <c r="E48" s="4" t="s">
        <v>269</v>
      </c>
      <c r="F48" s="4" t="s">
        <v>281</v>
      </c>
      <c r="G48" s="25"/>
      <c r="H48" s="4"/>
      <c r="I48" s="4"/>
      <c r="J48" s="4"/>
      <c r="K48" s="4"/>
      <c r="L48" s="4"/>
      <c r="M48"/>
      <c r="N48" s="3"/>
      <c r="O48" s="4"/>
    </row>
    <row r="49" spans="1:15" ht="21.75" customHeight="1" x14ac:dyDescent="0.15">
      <c r="A49" s="24"/>
      <c r="C49" s="13"/>
      <c r="D49" s="4"/>
      <c r="E49" s="4"/>
      <c r="F49" s="4"/>
      <c r="G49" s="25"/>
      <c r="H49" s="4"/>
      <c r="I49" s="4"/>
      <c r="J49" s="4"/>
      <c r="K49" s="4"/>
      <c r="L49" s="4"/>
      <c r="M49"/>
      <c r="N49" s="3"/>
      <c r="O49" s="4"/>
    </row>
    <row r="50" spans="1:15" ht="21.75" customHeight="1" x14ac:dyDescent="0.15">
      <c r="A50" s="24"/>
      <c r="C50" s="13"/>
      <c r="D50" s="4"/>
      <c r="E50" s="4"/>
      <c r="F50" s="4"/>
      <c r="G50" s="26"/>
      <c r="H50" s="4"/>
      <c r="I50" s="4"/>
      <c r="J50" s="4"/>
      <c r="K50" s="4"/>
      <c r="L50" s="4"/>
      <c r="M50"/>
      <c r="N50" s="3"/>
      <c r="O50" s="4"/>
    </row>
    <row r="51" spans="1:15" ht="21.75" customHeight="1" x14ac:dyDescent="0.15">
      <c r="A51" s="24"/>
      <c r="C51" s="13"/>
      <c r="D51" s="4"/>
      <c r="E51" s="4"/>
      <c r="F51" s="4"/>
      <c r="G51" s="26"/>
      <c r="H51" s="4"/>
      <c r="I51" s="4"/>
      <c r="J51" s="4"/>
      <c r="K51" s="4"/>
      <c r="L51" s="4"/>
      <c r="M51"/>
      <c r="N51" s="3"/>
      <c r="O51" s="4"/>
    </row>
    <row r="52" spans="1:15" ht="21.75" customHeight="1" x14ac:dyDescent="0.15">
      <c r="A52" s="24"/>
      <c r="C52" s="13"/>
      <c r="D52" s="4"/>
      <c r="E52" s="4"/>
      <c r="F52" s="4"/>
      <c r="G52" s="26"/>
      <c r="H52" s="4"/>
      <c r="I52" s="4"/>
      <c r="J52" s="4"/>
      <c r="K52" s="4"/>
      <c r="L52" s="4"/>
      <c r="M52"/>
      <c r="N52" s="3"/>
      <c r="O52" s="4"/>
    </row>
    <row r="53" spans="1:15" ht="21.75" customHeight="1" x14ac:dyDescent="0.15">
      <c r="A53" s="24"/>
      <c r="C53" s="13"/>
      <c r="D53" s="4"/>
      <c r="E53" s="4"/>
      <c r="F53" s="4"/>
      <c r="G53" s="26"/>
      <c r="H53" s="4"/>
      <c r="I53" s="4"/>
      <c r="J53" s="4"/>
      <c r="K53" s="4"/>
      <c r="L53" s="4"/>
      <c r="M53"/>
      <c r="N53" s="3"/>
      <c r="O53" s="4"/>
    </row>
    <row r="54" spans="1:15" ht="21.75" customHeight="1" x14ac:dyDescent="0.15">
      <c r="A54" s="24"/>
      <c r="C54" s="13"/>
      <c r="D54" s="4"/>
      <c r="E54" s="4"/>
      <c r="F54" s="4"/>
      <c r="G54" s="25"/>
      <c r="H54" s="4"/>
      <c r="I54" s="4"/>
      <c r="J54" s="4"/>
      <c r="K54" s="4"/>
      <c r="L54" s="4"/>
      <c r="M54"/>
      <c r="N54" s="3"/>
      <c r="O54" s="4"/>
    </row>
    <row r="55" spans="1:15" ht="21.75" customHeight="1" x14ac:dyDescent="0.15">
      <c r="A55" s="24"/>
      <c r="C55" s="13"/>
      <c r="D55" s="4"/>
      <c r="E55" s="4"/>
      <c r="F55" s="4"/>
      <c r="G55" s="4"/>
      <c r="H55" s="4"/>
      <c r="I55" s="4"/>
      <c r="J55" s="4"/>
      <c r="K55" s="4"/>
      <c r="L55" s="4"/>
      <c r="M55"/>
      <c r="N55" s="3"/>
      <c r="O55" s="4"/>
    </row>
    <row r="56" spans="1:15" ht="21.75" customHeight="1" x14ac:dyDescent="0.15">
      <c r="A56" s="24"/>
      <c r="C56" s="13"/>
      <c r="D56" s="4"/>
      <c r="E56" s="4"/>
      <c r="F56" s="4"/>
      <c r="G56" s="4"/>
      <c r="H56" s="4"/>
      <c r="I56" s="4"/>
      <c r="J56" s="4"/>
      <c r="K56" s="4"/>
      <c r="L56" s="4"/>
      <c r="M56"/>
      <c r="N56" s="3"/>
      <c r="O56" s="4"/>
    </row>
    <row r="57" spans="1:15" ht="21.75" customHeight="1" x14ac:dyDescent="0.15">
      <c r="A57" s="24"/>
      <c r="C57" s="13"/>
      <c r="D57" s="4"/>
      <c r="E57" s="4"/>
      <c r="F57" s="4"/>
      <c r="G57" s="4"/>
      <c r="H57" s="4"/>
      <c r="I57" s="4"/>
      <c r="J57" s="4"/>
      <c r="K57" s="4"/>
      <c r="L57" s="4"/>
      <c r="M57"/>
      <c r="N57" s="3"/>
      <c r="O57" s="4"/>
    </row>
    <row r="58" spans="1:15" ht="21.75" customHeight="1" x14ac:dyDescent="0.15">
      <c r="A58" s="24"/>
      <c r="C58" s="13"/>
      <c r="D58" s="4"/>
      <c r="E58" s="4"/>
      <c r="F58" s="4"/>
      <c r="G58" s="4"/>
      <c r="H58" s="4"/>
      <c r="I58" s="4"/>
      <c r="J58" s="4"/>
      <c r="K58" s="4"/>
      <c r="L58" s="4"/>
      <c r="M58"/>
      <c r="N58" s="3"/>
      <c r="O58" s="4"/>
    </row>
    <row r="59" spans="1:15" ht="21.75" customHeight="1" x14ac:dyDescent="0.15">
      <c r="A59" s="24"/>
      <c r="C59" s="13"/>
      <c r="D59" s="4"/>
      <c r="E59" s="4"/>
      <c r="F59" s="4"/>
      <c r="G59" s="25"/>
      <c r="H59" s="4"/>
      <c r="I59" s="4"/>
      <c r="J59" s="4"/>
      <c r="K59" s="4"/>
      <c r="L59" s="4"/>
      <c r="M59"/>
      <c r="N59" s="3"/>
      <c r="O59" s="4"/>
    </row>
    <row r="60" spans="1:15" ht="21.75" customHeight="1" x14ac:dyDescent="0.15">
      <c r="A60" s="24"/>
      <c r="C60" s="13"/>
      <c r="D60" s="4"/>
      <c r="E60" s="4"/>
      <c r="F60" s="4"/>
      <c r="G60" s="4"/>
      <c r="H60" s="4"/>
      <c r="I60" s="4"/>
      <c r="J60" s="4"/>
      <c r="K60" s="4"/>
      <c r="L60" s="4"/>
      <c r="M60"/>
      <c r="N60" s="3"/>
      <c r="O60" s="4"/>
    </row>
    <row r="61" spans="1:15" ht="21.75" customHeight="1" x14ac:dyDescent="0.15">
      <c r="A61" s="24"/>
      <c r="C61" s="13"/>
      <c r="D61" s="4"/>
      <c r="E61" s="4"/>
      <c r="F61" s="4"/>
      <c r="G61" s="4"/>
      <c r="H61" s="4"/>
      <c r="I61" s="4"/>
      <c r="J61" s="4"/>
      <c r="K61" s="4"/>
      <c r="L61" s="4"/>
      <c r="M61"/>
      <c r="N61" s="3"/>
      <c r="O61" s="4"/>
    </row>
    <row r="62" spans="1:15" ht="21.75" customHeight="1" x14ac:dyDescent="0.15">
      <c r="A62" s="24"/>
      <c r="C62" s="13"/>
      <c r="D62" s="4"/>
      <c r="E62" s="4"/>
      <c r="F62" s="4"/>
      <c r="G62" s="4"/>
      <c r="H62" s="4"/>
      <c r="I62" s="4"/>
      <c r="J62" s="4"/>
      <c r="K62" s="4"/>
      <c r="L62" s="4"/>
      <c r="M62"/>
      <c r="N62" s="3"/>
      <c r="O62" s="4"/>
    </row>
    <row r="63" spans="1:15" ht="21.75" customHeight="1" x14ac:dyDescent="0.15">
      <c r="A63" s="24"/>
      <c r="C63" s="13"/>
      <c r="D63" s="4"/>
      <c r="E63" s="4"/>
      <c r="F63" s="4"/>
      <c r="G63" s="4"/>
      <c r="H63" s="4"/>
      <c r="I63" s="4"/>
      <c r="J63" s="4"/>
      <c r="K63" s="4"/>
      <c r="L63" s="4"/>
      <c r="M63" s="29"/>
      <c r="N63" s="3"/>
      <c r="O63" s="4"/>
    </row>
    <row r="64" spans="1:15" ht="21.75" customHeight="1" x14ac:dyDescent="0.15">
      <c r="A64" s="24"/>
      <c r="C64" s="13"/>
      <c r="D64" s="4"/>
      <c r="E64" s="4"/>
      <c r="F64" s="4"/>
      <c r="G64" s="4"/>
      <c r="H64" s="4"/>
      <c r="I64" s="4"/>
      <c r="J64" s="4"/>
      <c r="K64" s="4"/>
      <c r="L64" s="4"/>
      <c r="M64" s="29"/>
      <c r="N64" s="3"/>
      <c r="O64" s="4"/>
    </row>
    <row r="65" spans="1:15" ht="21.75" customHeight="1" x14ac:dyDescent="0.15">
      <c r="A65" s="24"/>
      <c r="C65" s="13"/>
      <c r="D65" s="4"/>
      <c r="E65" s="4"/>
      <c r="F65" s="4"/>
      <c r="G65" s="4"/>
      <c r="H65" s="4"/>
      <c r="I65" s="4"/>
      <c r="J65" s="4"/>
      <c r="K65" s="4"/>
      <c r="L65" s="4"/>
      <c r="M65" s="29"/>
      <c r="N65" s="3"/>
      <c r="O65" s="4"/>
    </row>
    <row r="66" spans="1:15" ht="21.75" customHeight="1" x14ac:dyDescent="0.15">
      <c r="A66" s="24"/>
      <c r="C66" s="13"/>
      <c r="D66" s="4"/>
      <c r="E66" s="4"/>
      <c r="F66" s="4"/>
      <c r="G66" s="4"/>
      <c r="H66" s="4"/>
      <c r="I66" s="4"/>
      <c r="J66" s="4"/>
      <c r="K66" s="4"/>
      <c r="L66" s="4"/>
      <c r="M66" s="29"/>
      <c r="N66" s="3"/>
      <c r="O66" s="4"/>
    </row>
    <row r="67" spans="1:15" ht="21.75" customHeight="1" x14ac:dyDescent="0.15">
      <c r="A67" s="24"/>
      <c r="C67" s="13"/>
      <c r="D67" s="4"/>
      <c r="E67" s="4"/>
      <c r="F67" s="4"/>
      <c r="G67" s="4"/>
      <c r="H67" s="4"/>
      <c r="I67" s="4"/>
      <c r="J67" s="4"/>
      <c r="K67" s="4"/>
      <c r="L67" s="4"/>
      <c r="M67" s="29"/>
      <c r="N67" s="3"/>
      <c r="O67" s="4"/>
    </row>
    <row r="68" spans="1:15" ht="21.75" customHeight="1" x14ac:dyDescent="0.15">
      <c r="A68" s="24"/>
      <c r="C68" s="13"/>
      <c r="D68" s="4"/>
      <c r="E68" s="4"/>
      <c r="F68" s="4"/>
      <c r="G68" s="4"/>
      <c r="H68" s="4"/>
      <c r="I68" s="4"/>
      <c r="J68" s="4"/>
      <c r="K68" s="27"/>
      <c r="L68" s="4"/>
      <c r="M68" s="29"/>
      <c r="N68" s="3"/>
      <c r="O68" s="4"/>
    </row>
    <row r="69" spans="1:15" ht="21.75" customHeight="1" x14ac:dyDescent="0.15">
      <c r="A69" s="24"/>
      <c r="C69" s="13"/>
      <c r="D69" s="4"/>
      <c r="E69" s="4"/>
      <c r="F69" s="4"/>
      <c r="G69" s="4"/>
      <c r="H69" s="4"/>
      <c r="I69" s="4"/>
      <c r="J69" s="4"/>
      <c r="K69" s="4"/>
      <c r="L69" s="4"/>
      <c r="M69" s="29"/>
      <c r="N69" s="3"/>
      <c r="O69" s="4"/>
    </row>
    <row r="70" spans="1:15" ht="21.75" customHeight="1" x14ac:dyDescent="0.15">
      <c r="A70" s="24"/>
      <c r="C70" s="13"/>
      <c r="D70" s="4"/>
      <c r="E70" s="4"/>
      <c r="F70" s="4"/>
      <c r="G70" s="4"/>
      <c r="H70" s="4"/>
      <c r="I70" s="4"/>
      <c r="J70" s="4"/>
      <c r="K70" s="4"/>
      <c r="L70" s="4"/>
      <c r="M70" s="29"/>
      <c r="N70" s="3"/>
      <c r="O70" s="4"/>
    </row>
    <row r="71" spans="1:15" ht="21.75" customHeight="1" x14ac:dyDescent="0.15">
      <c r="A71" s="24"/>
      <c r="C71" s="13"/>
      <c r="D71" s="4"/>
      <c r="E71" s="4"/>
      <c r="F71" s="4"/>
      <c r="G71" s="4"/>
      <c r="H71" s="4"/>
      <c r="I71" s="4"/>
      <c r="J71" s="4"/>
      <c r="K71" s="4"/>
      <c r="L71" s="4"/>
      <c r="M71" s="29"/>
      <c r="N71" s="3"/>
      <c r="O71" s="4"/>
    </row>
    <row r="72" spans="1:15" ht="21.75" customHeight="1" x14ac:dyDescent="0.15">
      <c r="A72" s="12"/>
      <c r="C72" s="13"/>
      <c r="D72" s="4"/>
      <c r="E72" s="4"/>
      <c r="F72" s="4"/>
      <c r="G72" s="4"/>
      <c r="H72" s="4"/>
      <c r="I72" s="4"/>
      <c r="J72" s="4"/>
      <c r="K72" s="4"/>
      <c r="L72" s="4"/>
      <c r="M72" s="23"/>
      <c r="N72" s="3"/>
      <c r="O72" s="4"/>
    </row>
    <row r="73" spans="1:15" ht="21.75" customHeight="1" x14ac:dyDescent="0.15">
      <c r="A73" s="12"/>
      <c r="C73" s="13"/>
      <c r="D73" s="4"/>
      <c r="E73" s="4"/>
      <c r="F73" s="4"/>
      <c r="G73" s="4"/>
      <c r="H73" s="4"/>
      <c r="I73" s="4"/>
      <c r="J73" s="4"/>
      <c r="K73" s="4"/>
      <c r="L73" s="4"/>
      <c r="M73" s="23"/>
      <c r="N73" s="3"/>
      <c r="O73" s="4"/>
    </row>
    <row r="74" spans="1:15" ht="21.75" customHeight="1" x14ac:dyDescent="0.15">
      <c r="A74" s="12"/>
      <c r="C74" s="13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2"/>
      <c r="C75" s="13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2"/>
      <c r="C76" s="13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2"/>
      <c r="C77" s="13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 x14ac:dyDescent="0.15">
      <c r="A78" s="12"/>
      <c r="C78" s="13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 x14ac:dyDescent="0.15">
      <c r="A79" s="11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 x14ac:dyDescent="0.15">
      <c r="A80" s="11"/>
      <c r="D80" s="4"/>
      <c r="E80" s="4"/>
      <c r="F80" s="4"/>
      <c r="G80" s="4"/>
      <c r="H80" s="4"/>
      <c r="I80" s="4"/>
      <c r="J80" s="4"/>
      <c r="K80" s="4"/>
      <c r="L80" s="4"/>
      <c r="M80" s="4"/>
      <c r="N80" s="3"/>
      <c r="O80" s="4"/>
    </row>
    <row r="81" spans="1:15" ht="21.75" customHeight="1" x14ac:dyDescent="0.15">
      <c r="A81" s="11"/>
      <c r="D81" s="4"/>
      <c r="E81" s="4"/>
      <c r="F81" s="4"/>
      <c r="G81" s="4"/>
      <c r="H81" s="4"/>
      <c r="I81" s="4"/>
      <c r="J81" s="4"/>
      <c r="K81" s="4"/>
      <c r="L81" s="4"/>
      <c r="M81" s="4"/>
      <c r="N81" s="3"/>
      <c r="O81" s="4"/>
    </row>
    <row r="82" spans="1:15" ht="21.75" customHeight="1" x14ac:dyDescent="0.15">
      <c r="A82" s="11"/>
      <c r="D82" s="4"/>
      <c r="E82" s="4"/>
      <c r="F82" s="4"/>
      <c r="G82" s="4"/>
      <c r="H82" s="4"/>
      <c r="I82" s="4"/>
      <c r="J82" s="4"/>
      <c r="K82" s="4"/>
      <c r="L82" s="4"/>
      <c r="M82" s="4"/>
      <c r="N82" s="3"/>
      <c r="O82" s="4"/>
    </row>
    <row r="83" spans="1:15" ht="21.75" customHeight="1" x14ac:dyDescent="0.15">
      <c r="A83" s="11"/>
      <c r="D83" s="4"/>
      <c r="E83" s="4"/>
      <c r="F83" s="4"/>
      <c r="G83" s="4"/>
      <c r="H83" s="4"/>
      <c r="I83" s="4"/>
      <c r="J83" s="4"/>
      <c r="K83" s="4"/>
      <c r="L83" s="4"/>
      <c r="M83" s="4"/>
      <c r="N83" s="3"/>
      <c r="O83" s="4"/>
    </row>
    <row r="84" spans="1:15" ht="21.75" customHeight="1" x14ac:dyDescent="0.15">
      <c r="A84" s="11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 x14ac:dyDescent="0.15">
      <c r="A85" s="11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 x14ac:dyDescent="0.15">
      <c r="A86" s="11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 x14ac:dyDescent="0.15">
      <c r="A87" s="11"/>
      <c r="C87" s="13"/>
      <c r="D87" s="4"/>
      <c r="E87" s="4"/>
      <c r="F87" s="4"/>
      <c r="G87" s="4"/>
      <c r="H87" s="4"/>
      <c r="I87" s="4"/>
      <c r="J87" s="4"/>
      <c r="K87" s="8"/>
      <c r="L87" s="8"/>
      <c r="M87" s="4"/>
      <c r="N87" s="3"/>
      <c r="O87" s="4"/>
    </row>
    <row r="88" spans="1:15" ht="21.75" customHeight="1" x14ac:dyDescent="0.15">
      <c r="A88" s="11"/>
      <c r="C88" s="13"/>
      <c r="D88" s="4"/>
      <c r="E88" s="4"/>
      <c r="F88" s="4"/>
      <c r="G88" s="4"/>
      <c r="H88" s="4"/>
      <c r="I88" s="4"/>
      <c r="J88" s="4"/>
      <c r="K88" s="18"/>
      <c r="L88" s="18"/>
      <c r="M88" s="4"/>
      <c r="N88" s="3"/>
      <c r="O88" s="4"/>
    </row>
    <row r="89" spans="1:15" ht="21.75" customHeight="1" x14ac:dyDescent="0.15">
      <c r="A89" s="11"/>
      <c r="C89" s="13"/>
      <c r="D89" s="4"/>
      <c r="E89" s="4"/>
      <c r="F89" s="4"/>
      <c r="G89" s="4"/>
      <c r="H89" s="4"/>
      <c r="I89" s="4"/>
      <c r="J89" s="4"/>
      <c r="K89" s="18"/>
      <c r="L89" s="18"/>
      <c r="M89" s="4"/>
      <c r="N89" s="3"/>
      <c r="O89" s="4"/>
    </row>
    <row r="90" spans="1:15" ht="21.75" customHeight="1" x14ac:dyDescent="0.15">
      <c r="A90" s="11"/>
      <c r="C90" s="13"/>
      <c r="D90" s="4"/>
      <c r="E90" s="4"/>
      <c r="F90" s="4"/>
      <c r="G90" s="4"/>
      <c r="H90" s="4"/>
      <c r="I90" s="4"/>
      <c r="J90" s="4"/>
      <c r="K90" s="8"/>
      <c r="L90" s="8"/>
      <c r="M90" s="4"/>
      <c r="N90" s="3"/>
      <c r="O90" s="4"/>
    </row>
    <row r="91" spans="1:15" ht="21.75" customHeight="1" x14ac:dyDescent="0.15">
      <c r="A91" s="11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4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4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4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4"/>
      <c r="L96" s="4"/>
      <c r="M96" s="4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4"/>
      <c r="L97" s="4"/>
      <c r="M97" s="4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4"/>
      <c r="L98" s="4"/>
      <c r="M98" s="4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4"/>
      <c r="L99" s="4"/>
      <c r="M99" s="4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9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9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9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8"/>
      <c r="L103" s="8"/>
      <c r="M103" s="29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18"/>
      <c r="L104" s="18"/>
      <c r="M104" s="29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18"/>
      <c r="L105" s="18"/>
      <c r="M105" s="29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8"/>
      <c r="L106" s="8"/>
      <c r="M106" s="29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9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9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9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9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9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4"/>
      <c r="L112" s="4"/>
      <c r="M112" s="29"/>
      <c r="N112" s="3"/>
      <c r="O112" s="4"/>
    </row>
    <row r="113" spans="1:15" ht="21.75" customHeight="1" x14ac:dyDescent="0.15">
      <c r="A113" s="12"/>
      <c r="C113" s="13"/>
      <c r="D113" s="4"/>
      <c r="E113" s="4"/>
      <c r="F113" s="4"/>
      <c r="G113" s="4"/>
      <c r="H113" s="4"/>
      <c r="I113" s="4"/>
      <c r="J113" s="4"/>
      <c r="K113" s="4"/>
      <c r="L113" s="4"/>
      <c r="M113" s="29"/>
      <c r="N113" s="3"/>
      <c r="O113" s="4"/>
    </row>
    <row r="114" spans="1:15" ht="21.75" customHeight="1" x14ac:dyDescent="0.15">
      <c r="A114" s="12"/>
      <c r="C114" s="13"/>
      <c r="D114" s="4"/>
      <c r="E114" s="4"/>
      <c r="F114" s="4"/>
      <c r="G114" s="4"/>
      <c r="H114" s="4"/>
      <c r="I114" s="4"/>
      <c r="J114" s="4"/>
      <c r="K114" s="4"/>
      <c r="L114" s="4"/>
      <c r="M114" s="29"/>
      <c r="N114" s="3"/>
      <c r="O114" s="4"/>
    </row>
    <row r="115" spans="1:15" ht="21.75" customHeight="1" x14ac:dyDescent="0.15">
      <c r="A115" s="12"/>
      <c r="C115" s="13"/>
      <c r="D115" s="4"/>
      <c r="E115" s="4"/>
      <c r="F115" s="4"/>
      <c r="G115" s="4"/>
      <c r="H115" s="4"/>
      <c r="I115" s="4"/>
      <c r="J115" s="4"/>
      <c r="K115" s="4"/>
      <c r="L115" s="4"/>
      <c r="M115" s="29"/>
      <c r="N115" s="3"/>
      <c r="O115" s="4"/>
    </row>
    <row r="116" spans="1:15" ht="21.75" customHeight="1" x14ac:dyDescent="0.15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9"/>
      <c r="N116" s="3"/>
      <c r="O116" s="4"/>
    </row>
    <row r="117" spans="1:15" ht="21.75" customHeight="1" x14ac:dyDescent="0.15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9"/>
      <c r="N117" s="3"/>
      <c r="O117" s="4"/>
    </row>
    <row r="118" spans="1:15" ht="21.75" customHeight="1" x14ac:dyDescent="0.15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9"/>
      <c r="N118" s="3"/>
      <c r="O118" s="4"/>
    </row>
    <row r="119" spans="1:15" ht="21.75" customHeight="1" x14ac:dyDescent="0.15">
      <c r="A119" s="12"/>
      <c r="C119" s="13"/>
      <c r="D119" s="4"/>
      <c r="E119" s="4"/>
      <c r="F119" s="4"/>
      <c r="G119" s="4"/>
      <c r="H119" s="4"/>
      <c r="I119" s="4"/>
      <c r="J119" s="4"/>
      <c r="K119" s="8"/>
      <c r="L119" s="8"/>
      <c r="M119" s="29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18"/>
      <c r="L120" s="18"/>
      <c r="M120" s="29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18"/>
      <c r="L121" s="18"/>
      <c r="M121" s="29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8"/>
      <c r="L122" s="8"/>
      <c r="M122" s="29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9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9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9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9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9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29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29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29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29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9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9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9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8"/>
      <c r="L135" s="8"/>
      <c r="M135" s="29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18"/>
      <c r="L136" s="18"/>
      <c r="M136" s="29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18"/>
      <c r="L137" s="18"/>
      <c r="M137" s="29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8"/>
      <c r="L138" s="8"/>
      <c r="M138" s="29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9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9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9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9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9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9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9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9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9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9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9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9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8"/>
      <c r="L151" s="8"/>
      <c r="M151" s="29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18"/>
      <c r="L152" s="18"/>
      <c r="M152" s="29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18"/>
      <c r="L153" s="18"/>
      <c r="M153" s="29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8"/>
      <c r="L154" s="8"/>
      <c r="M154" s="29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9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9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9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9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9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9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9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9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9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9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9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9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8"/>
      <c r="L167" s="8"/>
      <c r="M167" s="29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18"/>
      <c r="L168" s="18"/>
      <c r="M168" s="29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18"/>
      <c r="L169" s="18"/>
      <c r="M169" s="29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8"/>
      <c r="L170" s="8"/>
      <c r="M170" s="29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9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9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9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9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9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9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9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9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9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9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9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9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8"/>
      <c r="L183" s="8"/>
      <c r="M183" s="29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18"/>
      <c r="L184" s="18"/>
      <c r="M184" s="29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18"/>
      <c r="L185" s="18"/>
      <c r="M185" s="29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8"/>
      <c r="L186" s="8"/>
      <c r="M186" s="29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9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9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9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9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9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9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9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9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9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9"/>
      <c r="N196" s="3"/>
      <c r="O196" s="4"/>
    </row>
    <row r="197" spans="1:15" ht="21.75" customHeight="1" x14ac:dyDescent="0.15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9"/>
      <c r="N197" s="3"/>
      <c r="O197" s="4"/>
    </row>
    <row r="198" spans="1:15" x14ac:dyDescent="0.15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9"/>
      <c r="N198" s="3"/>
      <c r="O198" s="4"/>
    </row>
    <row r="199" spans="1:15" x14ac:dyDescent="0.15">
      <c r="A199" s="12"/>
      <c r="C199" s="13"/>
      <c r="D199" s="4"/>
      <c r="E199" s="4"/>
      <c r="F199" s="4"/>
      <c r="G199" s="4"/>
      <c r="H199" s="4"/>
      <c r="I199" s="4"/>
      <c r="J199" s="4"/>
      <c r="K199" s="8"/>
      <c r="L199" s="8"/>
      <c r="M199" s="29"/>
      <c r="N199" s="3"/>
      <c r="O199" s="4"/>
    </row>
    <row r="200" spans="1:15" x14ac:dyDescent="0.15">
      <c r="A200" s="12"/>
      <c r="C200" s="13"/>
      <c r="D200" s="4"/>
      <c r="E200" s="4"/>
      <c r="F200" s="4"/>
      <c r="G200" s="4"/>
      <c r="H200" s="4"/>
      <c r="I200" s="4"/>
      <c r="J200" s="4"/>
      <c r="K200" s="18"/>
      <c r="L200" s="18"/>
      <c r="M200" s="29"/>
      <c r="N200" s="3"/>
      <c r="O200" s="4"/>
    </row>
    <row r="201" spans="1:15" x14ac:dyDescent="0.15">
      <c r="A201" s="12"/>
      <c r="C201" s="13"/>
      <c r="D201" s="4"/>
      <c r="E201" s="4"/>
      <c r="F201" s="4"/>
      <c r="G201" s="4"/>
      <c r="H201" s="4"/>
      <c r="I201" s="4"/>
      <c r="J201" s="4"/>
      <c r="K201" s="18"/>
      <c r="L201" s="18"/>
      <c r="M201" s="29"/>
      <c r="N201" s="3"/>
      <c r="O201" s="4"/>
    </row>
    <row r="202" spans="1:15" x14ac:dyDescent="0.15">
      <c r="A202" s="12"/>
      <c r="C202" s="13"/>
      <c r="D202" s="4"/>
      <c r="E202" s="4"/>
      <c r="F202" s="4"/>
      <c r="G202" s="4"/>
      <c r="H202" s="4"/>
      <c r="I202" s="4"/>
      <c r="J202" s="4"/>
      <c r="K202" s="8"/>
      <c r="L202" s="8"/>
      <c r="M202" s="29"/>
      <c r="N202" s="3"/>
      <c r="O202" s="4"/>
    </row>
    <row r="203" spans="1:15" x14ac:dyDescent="0.15">
      <c r="A203" s="12"/>
      <c r="C203" s="13"/>
      <c r="D203" s="4"/>
      <c r="E203" s="4"/>
      <c r="F203" s="4"/>
      <c r="G203" s="4"/>
      <c r="H203" s="4"/>
      <c r="I203" s="4"/>
      <c r="J203" s="4"/>
      <c r="K203" s="4"/>
      <c r="L203" s="4"/>
      <c r="M203" s="29"/>
      <c r="N203" s="3"/>
      <c r="O203" s="4"/>
    </row>
    <row r="204" spans="1:15" x14ac:dyDescent="0.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 x14ac:dyDescent="0.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 x14ac:dyDescent="0.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 x14ac:dyDescent="0.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 x14ac:dyDescent="0.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 x14ac:dyDescent="0.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  <row r="210" spans="1:15" x14ac:dyDescent="0.15">
      <c r="A210" s="12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3"/>
      <c r="O210" s="4"/>
    </row>
    <row r="211" spans="1:15" x14ac:dyDescent="0.15">
      <c r="A211" s="12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3"/>
      <c r="O211" s="4"/>
    </row>
    <row r="212" spans="1:15" x14ac:dyDescent="0.15">
      <c r="A212" s="12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3"/>
      <c r="O212" s="4"/>
    </row>
    <row r="213" spans="1:15" x14ac:dyDescent="0.15">
      <c r="A213" s="12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3"/>
      <c r="O213" s="4"/>
    </row>
    <row r="214" spans="1:15" x14ac:dyDescent="0.15">
      <c r="A214" s="12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3"/>
      <c r="O214" s="4"/>
    </row>
    <row r="215" spans="1:15" x14ac:dyDescent="0.15">
      <c r="A215" s="12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3"/>
      <c r="O215" s="4"/>
    </row>
    <row r="216" spans="1:15" x14ac:dyDescent="0.15">
      <c r="A216" s="12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3"/>
      <c r="O216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A20:A49</xm:sqref>
        </x14:dataValidation>
        <x14:dataValidation type="list" allowBlank="1" showInputMessage="1" showErrorMessage="1">
          <x14:formula1>
            <xm:f>LISTBOX_DATA!$B$1:$B$12</xm:f>
          </x14:formula1>
          <xm:sqref>D20:D49</xm:sqref>
        </x14:dataValidation>
        <x14:dataValidation type="list" allowBlank="1" showInputMessage="1" showErrorMessage="1">
          <x14:formula1>
            <xm:f>LISTBOX_DATA!$C$1:$C$5</xm:f>
          </x14:formula1>
          <xm:sqref>E20:E59</xm:sqref>
        </x14:dataValidation>
        <x14:dataValidation type="list" allowBlank="1" showInputMessage="1" showErrorMessage="1">
          <x14:formula1>
            <xm:f>LISTBOX_DATA!$D$1:$D$5</xm:f>
          </x14:formula1>
          <xm:sqref>H20:H59</xm:sqref>
        </x14:dataValidation>
        <x14:dataValidation type="list" allowBlank="1" showInputMessage="1" showErrorMessage="1">
          <x14:formula1>
            <xm:f>LISTBOX_DATA!$E$1:$E$4</xm:f>
          </x14:formula1>
          <xm:sqref>I20:I59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 tint="-0.249977111117893"/>
    <pageSetUpPr fitToPage="1"/>
  </sheetPr>
  <dimension ref="A1:P209"/>
  <sheetViews>
    <sheetView zoomScaleNormal="100" workbookViewId="0"/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48" customFormat="1" ht="31.5" x14ac:dyDescent="0.15">
      <c r="A1" s="47" t="s">
        <v>226</v>
      </c>
      <c r="N1" s="49"/>
    </row>
    <row r="2" spans="1:16" s="48" customFormat="1" x14ac:dyDescent="0.15">
      <c r="A2" s="50" t="s">
        <v>227</v>
      </c>
      <c r="N2" s="51"/>
    </row>
    <row r="3" spans="1:16" s="48" customFormat="1" x14ac:dyDescent="0.15">
      <c r="A3" s="50" t="s">
        <v>228</v>
      </c>
      <c r="N3" s="51"/>
    </row>
    <row r="4" spans="1:16" s="48" customFormat="1" x14ac:dyDescent="0.15">
      <c r="A4" s="52" t="s">
        <v>229</v>
      </c>
      <c r="N4" s="51"/>
    </row>
    <row r="7" spans="1:16" ht="21" x14ac:dyDescent="0.15">
      <c r="A7" s="10" t="s">
        <v>63</v>
      </c>
      <c r="D7" s="10" t="s">
        <v>9</v>
      </c>
      <c r="N7" s="3"/>
      <c r="O7" s="4"/>
    </row>
    <row r="8" spans="1:16" x14ac:dyDescent="0.15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x14ac:dyDescent="0.15">
      <c r="A9" s="5" t="s">
        <v>0</v>
      </c>
      <c r="B9" s="1" t="s">
        <v>104</v>
      </c>
      <c r="D9" s="5" t="s">
        <v>73</v>
      </c>
      <c r="E9" s="20">
        <f>E13-SUM(E10:E12)</f>
        <v>2</v>
      </c>
      <c r="L9" s="57"/>
      <c r="M9" s="57"/>
      <c r="N9" s="57"/>
      <c r="O9" s="57"/>
      <c r="P9" s="57"/>
    </row>
    <row r="10" spans="1:16" x14ac:dyDescent="0.15">
      <c r="A10" s="5" t="s">
        <v>11</v>
      </c>
      <c r="B10" s="30" t="s">
        <v>230</v>
      </c>
      <c r="D10" s="5" t="s">
        <v>4</v>
      </c>
      <c r="E10" s="22">
        <f>COUNTIF(TestScriptTable12[Result],"Passed")</f>
        <v>0</v>
      </c>
      <c r="L10" s="57"/>
      <c r="M10" s="57"/>
      <c r="N10" s="57"/>
      <c r="O10" s="57"/>
      <c r="P10" s="57"/>
    </row>
    <row r="11" spans="1:16" x14ac:dyDescent="0.15">
      <c r="A11" s="5" t="s">
        <v>80</v>
      </c>
      <c r="B11" s="1">
        <v>900</v>
      </c>
      <c r="D11" s="5" t="s">
        <v>5</v>
      </c>
      <c r="E11" s="21">
        <f>COUNTIF(TestScriptTable12[Result],"Failed")</f>
        <v>0</v>
      </c>
      <c r="L11" s="57"/>
      <c r="M11" s="57"/>
      <c r="N11" s="57"/>
      <c r="O11" s="57"/>
      <c r="P11" s="57"/>
    </row>
    <row r="12" spans="1:16" x14ac:dyDescent="0.15">
      <c r="A12" s="5" t="s">
        <v>81</v>
      </c>
      <c r="B12" s="1">
        <v>700</v>
      </c>
      <c r="D12" s="5" t="s">
        <v>8</v>
      </c>
      <c r="E12" s="19">
        <f>COUNTIF(TestScriptTable12[Result],"Skipped*")</f>
        <v>0</v>
      </c>
      <c r="L12" s="57"/>
      <c r="M12" s="57"/>
      <c r="N12" s="57"/>
      <c r="O12" s="57"/>
      <c r="P12" s="57"/>
    </row>
    <row r="13" spans="1:16" x14ac:dyDescent="0.15">
      <c r="A13" s="5" t="s">
        <v>29</v>
      </c>
      <c r="D13" s="5" t="s">
        <v>6</v>
      </c>
      <c r="E13" s="6">
        <f>COUNTA(TestScriptTable12[runTarget])+COUNTBLANK(TestScriptTable12[runTarget])</f>
        <v>2</v>
      </c>
      <c r="L13" s="57"/>
      <c r="M13" s="57"/>
      <c r="N13" s="57"/>
      <c r="O13" s="57"/>
      <c r="P13" s="57"/>
    </row>
    <row r="14" spans="1:16" x14ac:dyDescent="0.15">
      <c r="A14" s="5" t="s">
        <v>75</v>
      </c>
      <c r="B14" s="1" t="s">
        <v>79</v>
      </c>
      <c r="D14" s="5" t="s">
        <v>7</v>
      </c>
      <c r="E14" s="7">
        <f>(E13-E9)/E13</f>
        <v>0</v>
      </c>
      <c r="L14" s="57"/>
      <c r="M14" s="57"/>
      <c r="N14" s="57"/>
      <c r="O14" s="57"/>
      <c r="P14" s="57"/>
    </row>
    <row r="15" spans="1:16" x14ac:dyDescent="0.15">
      <c r="A15" s="5" t="s">
        <v>245</v>
      </c>
      <c r="B15" s="1" t="s">
        <v>79</v>
      </c>
    </row>
    <row r="16" spans="1:16" x14ac:dyDescent="0.15">
      <c r="A16" s="5"/>
      <c r="B16" s="6"/>
    </row>
    <row r="17" spans="1:16" s="9" customFormat="1" ht="21" x14ac:dyDescent="0.15">
      <c r="A17" s="10" t="s">
        <v>30</v>
      </c>
    </row>
    <row r="18" spans="1:16" s="15" customFormat="1" ht="15.75" x14ac:dyDescent="0.15">
      <c r="A18" s="44" t="s">
        <v>116</v>
      </c>
      <c r="B18" s="44"/>
      <c r="C18" s="45"/>
      <c r="D18" s="31" t="s">
        <v>21</v>
      </c>
      <c r="E18" s="31"/>
      <c r="F18" s="31"/>
      <c r="G18" s="31"/>
      <c r="H18" s="28" t="s">
        <v>74</v>
      </c>
      <c r="I18" s="32"/>
      <c r="J18" s="32"/>
      <c r="K18" s="32"/>
      <c r="L18" s="33" t="s">
        <v>32</v>
      </c>
      <c r="M18" s="33"/>
      <c r="N18" s="33"/>
      <c r="O18" s="33"/>
      <c r="P18" s="33"/>
    </row>
    <row r="19" spans="1:16" s="15" customFormat="1" ht="15.75" x14ac:dyDescent="0.1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 x14ac:dyDescent="0.15">
      <c r="A20" s="24" t="s">
        <v>76</v>
      </c>
      <c r="B20" s="1" t="s">
        <v>231</v>
      </c>
      <c r="C20" s="1" t="s">
        <v>232</v>
      </c>
      <c r="D20" s="4" t="s">
        <v>37</v>
      </c>
      <c r="E20" s="4"/>
      <c r="F20" s="4" t="s">
        <v>233</v>
      </c>
      <c r="G20" s="4"/>
      <c r="H20" s="4" t="s">
        <v>44</v>
      </c>
      <c r="I20" s="4" t="s">
        <v>49</v>
      </c>
      <c r="J20" s="4" t="s">
        <v>234</v>
      </c>
      <c r="K20" s="4" t="s">
        <v>287</v>
      </c>
      <c r="L20" s="4"/>
      <c r="M20"/>
      <c r="N20" s="3"/>
      <c r="O20" s="4"/>
    </row>
    <row r="21" spans="1:16" ht="21.75" customHeight="1" x14ac:dyDescent="0.15">
      <c r="A21" s="24" t="s">
        <v>76</v>
      </c>
      <c r="B21" s="1" t="s">
        <v>247</v>
      </c>
      <c r="C21" s="13" t="s">
        <v>235</v>
      </c>
      <c r="D21" s="4" t="s">
        <v>48</v>
      </c>
      <c r="E21" s="4"/>
      <c r="F21" s="4"/>
      <c r="G21" s="4">
        <v>10000</v>
      </c>
      <c r="H21" s="4" t="s">
        <v>42</v>
      </c>
      <c r="I21" s="4"/>
      <c r="J21" s="4"/>
      <c r="K21" s="4" t="str">
        <f>"Release " &amp;K20 &amp; " · ssugiya/Spreadsheetnium · GitHub"</f>
        <v>Release v0.0.7 · ssugiya/Spreadsheetnium · GitHub</v>
      </c>
      <c r="L21" s="4"/>
      <c r="M21"/>
      <c r="N21" s="3"/>
      <c r="O21" s="4"/>
    </row>
    <row r="22" spans="1:16" ht="21.75" customHeight="1" x14ac:dyDescent="0.15">
      <c r="A22" s="24"/>
      <c r="C22" s="13"/>
      <c r="D22" s="4"/>
      <c r="E22" s="4"/>
      <c r="F22" s="4"/>
      <c r="G22" s="4"/>
      <c r="H22" s="4"/>
      <c r="I22" s="4"/>
      <c r="J22" s="4"/>
      <c r="K22" s="4"/>
      <c r="L22" s="4"/>
      <c r="M22"/>
      <c r="N22" s="3"/>
      <c r="O22" s="4"/>
    </row>
    <row r="23" spans="1:16" ht="21.75" customHeight="1" x14ac:dyDescent="0.15">
      <c r="A23" s="24"/>
      <c r="C23" s="13"/>
      <c r="D23" s="4"/>
      <c r="E23" s="4"/>
      <c r="F23" s="4"/>
      <c r="G23" s="4"/>
      <c r="H23" s="4"/>
      <c r="I23" s="4"/>
      <c r="J23" s="4"/>
      <c r="K23" s="4"/>
      <c r="L23" s="4"/>
      <c r="M23"/>
      <c r="N23" s="3"/>
      <c r="O23" s="4"/>
    </row>
    <row r="24" spans="1:16" ht="21.75" customHeight="1" x14ac:dyDescent="0.15">
      <c r="A24" s="24"/>
      <c r="C24" s="13"/>
      <c r="D24" s="4"/>
      <c r="E24" s="4"/>
      <c r="F24" s="4"/>
      <c r="G24" s="4"/>
      <c r="H24" s="4"/>
      <c r="I24" s="4"/>
      <c r="J24" s="4"/>
      <c r="K24" s="4"/>
      <c r="L24" s="4"/>
      <c r="M24"/>
      <c r="N24" s="3"/>
      <c r="O24" s="4"/>
    </row>
    <row r="25" spans="1:16" ht="21.75" customHeight="1" x14ac:dyDescent="0.15">
      <c r="A25" s="24"/>
      <c r="C25" s="13"/>
      <c r="D25" s="4"/>
      <c r="E25" s="4"/>
      <c r="F25" s="4"/>
      <c r="G25" s="4"/>
      <c r="H25" s="4"/>
      <c r="I25" s="4"/>
      <c r="J25" s="4"/>
      <c r="K25" s="4"/>
      <c r="L25" s="4"/>
      <c r="M25"/>
      <c r="N25" s="3"/>
      <c r="O25" s="4"/>
    </row>
    <row r="26" spans="1:16" ht="21.75" customHeight="1" x14ac:dyDescent="0.15">
      <c r="A26" s="24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 x14ac:dyDescent="0.15">
      <c r="A27" s="24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 x14ac:dyDescent="0.15">
      <c r="A28" s="24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 x14ac:dyDescent="0.15">
      <c r="A29" s="24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6" ht="21.75" customHeight="1" x14ac:dyDescent="0.15">
      <c r="A30" s="24"/>
      <c r="C30" s="13"/>
      <c r="D30" s="4"/>
      <c r="E30" s="4"/>
      <c r="F30" s="4"/>
      <c r="G30" s="4"/>
      <c r="H30" s="4"/>
      <c r="I30" s="4"/>
      <c r="J30" s="4"/>
      <c r="K30" s="4"/>
      <c r="L30" s="4"/>
      <c r="M30" s="29"/>
      <c r="N30" s="3"/>
      <c r="O30" s="4"/>
    </row>
    <row r="31" spans="1:16" ht="21.75" customHeight="1" x14ac:dyDescent="0.15">
      <c r="A31" s="24"/>
      <c r="C31" s="13"/>
      <c r="D31" s="4"/>
      <c r="E31" s="4"/>
      <c r="F31" s="4"/>
      <c r="G31" s="4"/>
      <c r="H31" s="4"/>
      <c r="I31" s="4"/>
      <c r="J31" s="4"/>
      <c r="K31" s="4"/>
      <c r="L31" s="4"/>
      <c r="M31" s="29"/>
      <c r="N31" s="3"/>
      <c r="O31" s="4"/>
    </row>
    <row r="32" spans="1:16" ht="21.75" customHeight="1" x14ac:dyDescent="0.15">
      <c r="A32" s="24"/>
      <c r="C32" s="13"/>
      <c r="D32" s="4"/>
      <c r="E32" s="4"/>
      <c r="F32" s="4"/>
      <c r="G32" s="4"/>
      <c r="H32" s="4"/>
      <c r="I32" s="4"/>
      <c r="J32" s="4"/>
      <c r="K32" s="4"/>
      <c r="L32" s="4"/>
      <c r="M32" s="29"/>
      <c r="N32" s="3"/>
      <c r="O32" s="4"/>
    </row>
    <row r="33" spans="1:15" ht="21.75" customHeight="1" x14ac:dyDescent="0.15">
      <c r="A33" s="24"/>
      <c r="C33" s="13"/>
      <c r="D33" s="4"/>
      <c r="E33" s="4"/>
      <c r="F33" s="4"/>
      <c r="G33" s="4"/>
      <c r="H33" s="4"/>
      <c r="I33" s="4"/>
      <c r="J33" s="4"/>
      <c r="K33" s="4"/>
      <c r="L33" s="4"/>
      <c r="M33" s="29"/>
      <c r="N33" s="3"/>
      <c r="O33" s="4"/>
    </row>
    <row r="34" spans="1:15" ht="21.75" customHeight="1" x14ac:dyDescent="0.15">
      <c r="A34" s="24"/>
      <c r="C34" s="13"/>
      <c r="D34" s="4"/>
      <c r="E34" s="4"/>
      <c r="F34" s="4"/>
      <c r="G34" s="4"/>
      <c r="H34" s="4"/>
      <c r="I34" s="4"/>
      <c r="J34" s="4"/>
      <c r="K34" s="4"/>
      <c r="L34" s="4"/>
      <c r="M34" s="29"/>
      <c r="N34" s="3"/>
      <c r="O34" s="4"/>
    </row>
    <row r="35" spans="1:15" ht="21.75" customHeight="1" x14ac:dyDescent="0.15">
      <c r="A35" s="24"/>
      <c r="C35" s="13"/>
      <c r="D35" s="4"/>
      <c r="E35" s="4"/>
      <c r="F35" s="4"/>
      <c r="G35" s="4"/>
      <c r="H35" s="4"/>
      <c r="I35" s="4"/>
      <c r="J35" s="4"/>
      <c r="K35" s="4"/>
      <c r="L35" s="4"/>
      <c r="M35" s="29"/>
      <c r="N35" s="3"/>
      <c r="O35" s="4"/>
    </row>
    <row r="36" spans="1:15" ht="21.75" customHeight="1" x14ac:dyDescent="0.15">
      <c r="A36" s="24"/>
      <c r="C36" s="13"/>
      <c r="D36" s="4"/>
      <c r="E36" s="4"/>
      <c r="F36" s="4"/>
      <c r="G36" s="4"/>
      <c r="H36" s="4"/>
      <c r="I36" s="4"/>
      <c r="J36" s="4"/>
      <c r="K36" s="4"/>
      <c r="L36" s="4"/>
      <c r="M36" s="29"/>
      <c r="N36" s="3"/>
      <c r="O36" s="4"/>
    </row>
    <row r="37" spans="1:15" ht="21.75" customHeight="1" x14ac:dyDescent="0.15">
      <c r="A37" s="24"/>
      <c r="C37" s="13"/>
      <c r="D37" s="4"/>
      <c r="E37" s="4"/>
      <c r="F37" s="4"/>
      <c r="G37" s="23"/>
      <c r="H37" s="4"/>
      <c r="I37" s="4"/>
      <c r="J37" s="4"/>
      <c r="K37" s="4"/>
      <c r="L37" s="4"/>
      <c r="M37" s="29"/>
      <c r="N37" s="3"/>
      <c r="O37" s="4"/>
    </row>
    <row r="38" spans="1:15" ht="21.75" customHeight="1" x14ac:dyDescent="0.15">
      <c r="A38" s="24"/>
      <c r="C38" s="13"/>
      <c r="D38" s="4"/>
      <c r="E38" s="4"/>
      <c r="F38" s="4"/>
      <c r="G38" s="4"/>
      <c r="H38" s="4"/>
      <c r="I38" s="4"/>
      <c r="J38" s="4"/>
      <c r="K38" s="4"/>
      <c r="L38" s="4"/>
      <c r="M38" s="29"/>
      <c r="N38" s="3"/>
      <c r="O38" s="4"/>
    </row>
    <row r="39" spans="1:15" ht="21.75" customHeight="1" x14ac:dyDescent="0.15">
      <c r="A39" s="24"/>
      <c r="C39" s="13"/>
      <c r="D39" s="4"/>
      <c r="E39" s="4"/>
      <c r="F39" s="4"/>
      <c r="G39" s="4"/>
      <c r="H39" s="4"/>
      <c r="I39" s="4"/>
      <c r="J39" s="4"/>
      <c r="K39" s="4"/>
      <c r="L39" s="4"/>
      <c r="M39" s="29"/>
      <c r="N39" s="3"/>
      <c r="O39" s="4"/>
    </row>
    <row r="40" spans="1:15" ht="21.75" customHeight="1" x14ac:dyDescent="0.15">
      <c r="A40" s="24"/>
      <c r="C40" s="13"/>
      <c r="D40" s="4"/>
      <c r="E40" s="4"/>
      <c r="F40" s="4"/>
      <c r="G40" s="25"/>
      <c r="H40" s="4"/>
      <c r="I40" s="4"/>
      <c r="J40" s="4"/>
      <c r="K40" s="4"/>
      <c r="L40" s="4"/>
      <c r="M40" s="29"/>
      <c r="N40" s="3"/>
      <c r="O40" s="4"/>
    </row>
    <row r="41" spans="1:15" ht="21.75" customHeight="1" x14ac:dyDescent="0.15">
      <c r="A41" s="24"/>
      <c r="C41" s="13"/>
      <c r="D41" s="4"/>
      <c r="E41" s="4"/>
      <c r="F41" s="4"/>
      <c r="G41" s="25"/>
      <c r="H41" s="4"/>
      <c r="I41" s="4"/>
      <c r="J41" s="4"/>
      <c r="K41" s="4"/>
      <c r="L41" s="4"/>
      <c r="M41" s="29"/>
      <c r="N41" s="3"/>
      <c r="O41" s="4"/>
    </row>
    <row r="42" spans="1:15" ht="21.75" customHeight="1" x14ac:dyDescent="0.15">
      <c r="A42" s="24"/>
      <c r="C42" s="13"/>
      <c r="D42" s="4"/>
      <c r="E42" s="4"/>
      <c r="F42" s="4"/>
      <c r="G42" s="25"/>
      <c r="H42" s="4"/>
      <c r="I42" s="4"/>
      <c r="J42" s="4"/>
      <c r="K42" s="4"/>
      <c r="L42" s="4"/>
      <c r="M42" s="29"/>
      <c r="N42" s="3"/>
      <c r="O42" s="4"/>
    </row>
    <row r="43" spans="1:15" ht="21.75" customHeight="1" x14ac:dyDescent="0.15">
      <c r="A43" s="24"/>
      <c r="C43" s="13"/>
      <c r="D43" s="4"/>
      <c r="E43" s="4"/>
      <c r="F43" s="4"/>
      <c r="G43" s="26"/>
      <c r="H43" s="4"/>
      <c r="I43" s="4"/>
      <c r="J43" s="4"/>
      <c r="K43" s="4"/>
      <c r="L43" s="4"/>
      <c r="M43" s="29"/>
      <c r="N43" s="3"/>
      <c r="O43" s="4"/>
    </row>
    <row r="44" spans="1:15" ht="21.75" customHeight="1" x14ac:dyDescent="0.15">
      <c r="A44" s="24"/>
      <c r="C44" s="13"/>
      <c r="D44" s="4"/>
      <c r="E44" s="4"/>
      <c r="F44" s="4"/>
      <c r="G44" s="26"/>
      <c r="H44" s="4"/>
      <c r="I44" s="4"/>
      <c r="J44" s="4"/>
      <c r="K44" s="4"/>
      <c r="L44" s="4"/>
      <c r="M44" s="29"/>
      <c r="N44" s="3"/>
      <c r="O44" s="4"/>
    </row>
    <row r="45" spans="1:15" ht="21.75" customHeight="1" x14ac:dyDescent="0.15">
      <c r="A45" s="24"/>
      <c r="C45" s="13"/>
      <c r="D45" s="4"/>
      <c r="E45" s="4"/>
      <c r="F45" s="4"/>
      <c r="G45" s="26"/>
      <c r="H45" s="4"/>
      <c r="I45" s="4"/>
      <c r="J45" s="4"/>
      <c r="K45" s="4"/>
      <c r="L45" s="4"/>
      <c r="M45" s="29"/>
      <c r="N45" s="3"/>
      <c r="O45" s="4"/>
    </row>
    <row r="46" spans="1:15" ht="21.75" customHeight="1" x14ac:dyDescent="0.15">
      <c r="A46" s="24"/>
      <c r="C46" s="13"/>
      <c r="D46" s="4"/>
      <c r="E46" s="4"/>
      <c r="F46" s="4"/>
      <c r="G46" s="26"/>
      <c r="H46" s="4"/>
      <c r="I46" s="4"/>
      <c r="J46" s="4"/>
      <c r="K46" s="4"/>
      <c r="L46" s="4"/>
      <c r="M46" s="29"/>
      <c r="N46" s="3"/>
      <c r="O46" s="4"/>
    </row>
    <row r="47" spans="1:15" ht="21.75" customHeight="1" x14ac:dyDescent="0.15">
      <c r="A47" s="24"/>
      <c r="C47" s="13"/>
      <c r="D47" s="4"/>
      <c r="E47" s="4"/>
      <c r="F47" s="4"/>
      <c r="G47" s="25"/>
      <c r="H47" s="4"/>
      <c r="I47" s="4"/>
      <c r="J47" s="4"/>
      <c r="K47" s="4"/>
      <c r="L47" s="4"/>
      <c r="M47" s="29"/>
      <c r="N47" s="3"/>
      <c r="O47" s="4"/>
    </row>
    <row r="48" spans="1:15" ht="21.75" customHeight="1" x14ac:dyDescent="0.15">
      <c r="A48" s="24"/>
      <c r="C48" s="13"/>
      <c r="D48" s="4"/>
      <c r="E48" s="4"/>
      <c r="F48" s="4"/>
      <c r="G48" s="4"/>
      <c r="H48" s="4"/>
      <c r="I48" s="4"/>
      <c r="J48" s="4"/>
      <c r="K48" s="4"/>
      <c r="L48" s="4"/>
      <c r="M48" s="29"/>
      <c r="N48" s="3"/>
      <c r="O48" s="4"/>
    </row>
    <row r="49" spans="1:15" ht="21.75" customHeight="1" x14ac:dyDescent="0.15">
      <c r="A49" s="24"/>
      <c r="C49" s="13"/>
      <c r="D49" s="4"/>
      <c r="E49" s="4"/>
      <c r="F49" s="4"/>
      <c r="G49" s="4"/>
      <c r="H49" s="4"/>
      <c r="I49" s="4"/>
      <c r="J49" s="4"/>
      <c r="K49" s="4"/>
      <c r="L49" s="4"/>
      <c r="M49" s="29"/>
      <c r="N49" s="3"/>
      <c r="O49" s="4"/>
    </row>
    <row r="50" spans="1:15" ht="21.75" customHeight="1" x14ac:dyDescent="0.15">
      <c r="A50" s="24"/>
      <c r="C50" s="13"/>
      <c r="D50" s="4"/>
      <c r="E50" s="4"/>
      <c r="F50" s="4"/>
      <c r="G50" s="4"/>
      <c r="H50" s="4"/>
      <c r="I50" s="4"/>
      <c r="J50" s="4"/>
      <c r="K50" s="4"/>
      <c r="L50" s="4"/>
      <c r="M50" s="29"/>
      <c r="N50" s="3"/>
      <c r="O50" s="4"/>
    </row>
    <row r="51" spans="1:15" ht="21.75" customHeight="1" x14ac:dyDescent="0.15">
      <c r="A51" s="24"/>
      <c r="C51" s="13"/>
      <c r="D51" s="4"/>
      <c r="E51" s="4"/>
      <c r="F51" s="4"/>
      <c r="G51" s="4"/>
      <c r="H51" s="4"/>
      <c r="I51" s="4"/>
      <c r="J51" s="4"/>
      <c r="K51" s="4"/>
      <c r="L51" s="4"/>
      <c r="M51" s="29"/>
      <c r="N51" s="3"/>
      <c r="O51" s="4"/>
    </row>
    <row r="52" spans="1:15" ht="21.75" customHeight="1" x14ac:dyDescent="0.15">
      <c r="A52" s="24"/>
      <c r="C52" s="13"/>
      <c r="D52" s="4"/>
      <c r="E52" s="4"/>
      <c r="F52" s="4"/>
      <c r="G52" s="25"/>
      <c r="H52" s="4"/>
      <c r="I52" s="4"/>
      <c r="J52" s="4"/>
      <c r="K52" s="4"/>
      <c r="L52" s="4"/>
      <c r="M52" s="29"/>
      <c r="N52" s="3"/>
      <c r="O52" s="4"/>
    </row>
    <row r="53" spans="1:15" ht="21.75" customHeight="1" x14ac:dyDescent="0.15">
      <c r="A53" s="24"/>
      <c r="C53" s="13"/>
      <c r="D53" s="4"/>
      <c r="E53" s="4"/>
      <c r="F53" s="4"/>
      <c r="G53" s="4"/>
      <c r="H53" s="4"/>
      <c r="I53" s="4"/>
      <c r="J53" s="4"/>
      <c r="K53" s="4"/>
      <c r="L53" s="4"/>
      <c r="M53" s="29"/>
      <c r="N53" s="3"/>
      <c r="O53" s="4"/>
    </row>
    <row r="54" spans="1:15" ht="21.75" customHeight="1" x14ac:dyDescent="0.15">
      <c r="A54" s="24"/>
      <c r="C54" s="13"/>
      <c r="D54" s="4"/>
      <c r="E54" s="4"/>
      <c r="F54" s="4"/>
      <c r="G54" s="4"/>
      <c r="H54" s="4"/>
      <c r="I54" s="4"/>
      <c r="J54" s="4"/>
      <c r="K54" s="4"/>
      <c r="L54" s="4"/>
      <c r="M54" s="29"/>
      <c r="N54" s="3"/>
      <c r="O54" s="4"/>
    </row>
    <row r="55" spans="1:15" ht="21.75" customHeight="1" x14ac:dyDescent="0.15">
      <c r="A55" s="24"/>
      <c r="C55" s="13"/>
      <c r="D55" s="4"/>
      <c r="E55" s="4"/>
      <c r="F55" s="4"/>
      <c r="G55" s="4"/>
      <c r="H55" s="4"/>
      <c r="I55" s="4"/>
      <c r="J55" s="4"/>
      <c r="K55" s="4"/>
      <c r="L55" s="4"/>
      <c r="M55" s="29"/>
      <c r="N55" s="3"/>
      <c r="O55" s="4"/>
    </row>
    <row r="56" spans="1:15" ht="21.75" customHeight="1" x14ac:dyDescent="0.15">
      <c r="A56" s="24"/>
      <c r="C56" s="13"/>
      <c r="D56" s="4"/>
      <c r="E56" s="4"/>
      <c r="F56" s="4"/>
      <c r="G56" s="4"/>
      <c r="H56" s="4"/>
      <c r="I56" s="4"/>
      <c r="J56" s="4"/>
      <c r="K56" s="4"/>
      <c r="L56" s="4"/>
      <c r="M56" s="29"/>
      <c r="N56" s="3"/>
      <c r="O56" s="4"/>
    </row>
    <row r="57" spans="1:15" ht="21.75" customHeight="1" x14ac:dyDescent="0.15">
      <c r="A57" s="24"/>
      <c r="C57" s="13"/>
      <c r="D57" s="4"/>
      <c r="E57" s="4"/>
      <c r="F57" s="4"/>
      <c r="G57" s="4"/>
      <c r="H57" s="4"/>
      <c r="I57" s="4"/>
      <c r="J57" s="4"/>
      <c r="K57" s="4"/>
      <c r="L57" s="4"/>
      <c r="M57" s="29"/>
      <c r="N57" s="3"/>
      <c r="O57" s="4"/>
    </row>
    <row r="58" spans="1:15" ht="21.75" customHeight="1" x14ac:dyDescent="0.15">
      <c r="A58" s="24"/>
      <c r="C58" s="13"/>
      <c r="D58" s="4"/>
      <c r="E58" s="4"/>
      <c r="F58" s="4"/>
      <c r="G58" s="4"/>
      <c r="H58" s="4"/>
      <c r="I58" s="4"/>
      <c r="J58" s="4"/>
      <c r="K58" s="4"/>
      <c r="L58" s="4"/>
      <c r="M58" s="29"/>
      <c r="N58" s="3"/>
      <c r="O58" s="4"/>
    </row>
    <row r="59" spans="1:15" ht="21.75" customHeight="1" x14ac:dyDescent="0.15">
      <c r="A59" s="24"/>
      <c r="C59" s="13"/>
      <c r="D59" s="4"/>
      <c r="E59" s="4"/>
      <c r="F59" s="4"/>
      <c r="G59" s="4"/>
      <c r="H59" s="4"/>
      <c r="I59" s="4"/>
      <c r="J59" s="4"/>
      <c r="K59" s="4"/>
      <c r="L59" s="4"/>
      <c r="M59" s="29"/>
      <c r="N59" s="3"/>
      <c r="O59" s="4"/>
    </row>
    <row r="60" spans="1:15" ht="21.75" customHeight="1" x14ac:dyDescent="0.15">
      <c r="A60" s="24"/>
      <c r="C60" s="13"/>
      <c r="D60" s="4"/>
      <c r="E60" s="4"/>
      <c r="F60" s="4"/>
      <c r="G60" s="4"/>
      <c r="H60" s="4"/>
      <c r="I60" s="4"/>
      <c r="J60" s="4"/>
      <c r="K60" s="4"/>
      <c r="L60" s="4"/>
      <c r="M60" s="29"/>
      <c r="N60" s="3"/>
      <c r="O60" s="4"/>
    </row>
    <row r="61" spans="1:15" ht="21.75" customHeight="1" x14ac:dyDescent="0.15">
      <c r="A61" s="24"/>
      <c r="C61" s="13"/>
      <c r="D61" s="4"/>
      <c r="E61" s="4"/>
      <c r="F61" s="4"/>
      <c r="G61" s="4"/>
      <c r="H61" s="4"/>
      <c r="I61" s="4"/>
      <c r="J61" s="4"/>
      <c r="K61" s="27"/>
      <c r="L61" s="4"/>
      <c r="M61" s="29"/>
      <c r="N61" s="3"/>
      <c r="O61" s="4"/>
    </row>
    <row r="62" spans="1:15" ht="21.75" customHeight="1" x14ac:dyDescent="0.15">
      <c r="A62" s="24"/>
      <c r="C62" s="13"/>
      <c r="D62" s="4"/>
      <c r="E62" s="4"/>
      <c r="F62" s="4"/>
      <c r="G62" s="4"/>
      <c r="H62" s="4"/>
      <c r="I62" s="4"/>
      <c r="J62" s="4"/>
      <c r="K62" s="4"/>
      <c r="L62" s="4"/>
      <c r="M62" s="29"/>
      <c r="N62" s="3"/>
      <c r="O62" s="4"/>
    </row>
    <row r="63" spans="1:15" ht="21.75" customHeight="1" x14ac:dyDescent="0.15">
      <c r="A63" s="24"/>
      <c r="C63" s="13"/>
      <c r="D63" s="4"/>
      <c r="E63" s="4"/>
      <c r="F63" s="4"/>
      <c r="G63" s="4"/>
      <c r="H63" s="4"/>
      <c r="I63" s="4"/>
      <c r="J63" s="4"/>
      <c r="K63" s="4"/>
      <c r="L63" s="4"/>
      <c r="M63" s="29"/>
      <c r="N63" s="3"/>
      <c r="O63" s="4"/>
    </row>
    <row r="64" spans="1:15" ht="21.75" customHeight="1" x14ac:dyDescent="0.15">
      <c r="A64" s="24"/>
      <c r="C64" s="13"/>
      <c r="D64" s="4"/>
      <c r="E64" s="4"/>
      <c r="F64" s="4"/>
      <c r="G64" s="4"/>
      <c r="H64" s="4"/>
      <c r="I64" s="4"/>
      <c r="J64" s="4"/>
      <c r="K64" s="4"/>
      <c r="L64" s="4"/>
      <c r="M64" s="29"/>
      <c r="N64" s="3"/>
      <c r="O64" s="4"/>
    </row>
    <row r="65" spans="1:15" ht="21.75" customHeight="1" x14ac:dyDescent="0.15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3"/>
      <c r="N65" s="3"/>
      <c r="O65" s="4"/>
    </row>
    <row r="66" spans="1:15" ht="21.75" customHeight="1" x14ac:dyDescent="0.15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3"/>
      <c r="N66" s="3"/>
      <c r="O66" s="4"/>
    </row>
    <row r="67" spans="1:15" ht="21.75" customHeight="1" x14ac:dyDescent="0.15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 x14ac:dyDescent="0.15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 x14ac:dyDescent="0.15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 x14ac:dyDescent="0.15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 x14ac:dyDescent="0.15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 x14ac:dyDescent="0.15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 x14ac:dyDescent="0.15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 x14ac:dyDescent="0.15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 x14ac:dyDescent="0.15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 x14ac:dyDescent="0.15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 x14ac:dyDescent="0.15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 x14ac:dyDescent="0.15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 x14ac:dyDescent="0.15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 x14ac:dyDescent="0.15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 x14ac:dyDescent="0.15">
      <c r="A81" s="11"/>
      <c r="C81" s="13"/>
      <c r="D81" s="4"/>
      <c r="E81" s="4"/>
      <c r="F81" s="4"/>
      <c r="G81" s="4"/>
      <c r="H81" s="4"/>
      <c r="I81" s="4"/>
      <c r="J81" s="4"/>
      <c r="K81" s="18"/>
      <c r="L81" s="18"/>
      <c r="M81" s="4"/>
      <c r="N81" s="3"/>
      <c r="O81" s="4"/>
    </row>
    <row r="82" spans="1:15" ht="21.75" customHeight="1" x14ac:dyDescent="0.15">
      <c r="A82" s="11"/>
      <c r="C82" s="13"/>
      <c r="D82" s="4"/>
      <c r="E82" s="4"/>
      <c r="F82" s="4"/>
      <c r="G82" s="4"/>
      <c r="H82" s="4"/>
      <c r="I82" s="4"/>
      <c r="J82" s="4"/>
      <c r="K82" s="18"/>
      <c r="L82" s="18"/>
      <c r="M82" s="4"/>
      <c r="N82" s="3"/>
      <c r="O82" s="4"/>
    </row>
    <row r="83" spans="1:15" ht="21.75" customHeight="1" x14ac:dyDescent="0.15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 x14ac:dyDescent="0.15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 x14ac:dyDescent="0.15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 x14ac:dyDescent="0.15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 x14ac:dyDescent="0.15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 x14ac:dyDescent="0.15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 x14ac:dyDescent="0.15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 x14ac:dyDescent="0.15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 x14ac:dyDescent="0.15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 x14ac:dyDescent="0.15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 x14ac:dyDescent="0.15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9"/>
      <c r="N93" s="3"/>
      <c r="O93" s="4"/>
    </row>
    <row r="94" spans="1:15" ht="21.75" customHeight="1" x14ac:dyDescent="0.15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9"/>
      <c r="N94" s="3"/>
      <c r="O94" s="4"/>
    </row>
    <row r="95" spans="1:15" ht="21.75" customHeight="1" x14ac:dyDescent="0.15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9"/>
      <c r="N95" s="3"/>
      <c r="O95" s="4"/>
    </row>
    <row r="96" spans="1:15" ht="21.75" customHeight="1" x14ac:dyDescent="0.15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9"/>
      <c r="N96" s="3"/>
      <c r="O96" s="4"/>
    </row>
    <row r="97" spans="1:15" ht="21.75" customHeight="1" x14ac:dyDescent="0.15">
      <c r="A97" s="12"/>
      <c r="C97" s="13"/>
      <c r="D97" s="4"/>
      <c r="E97" s="4"/>
      <c r="F97" s="4"/>
      <c r="G97" s="4"/>
      <c r="H97" s="4"/>
      <c r="I97" s="4"/>
      <c r="J97" s="4"/>
      <c r="K97" s="18"/>
      <c r="L97" s="18"/>
      <c r="M97" s="29"/>
      <c r="N97" s="3"/>
      <c r="O97" s="4"/>
    </row>
    <row r="98" spans="1:15" ht="21.75" customHeight="1" x14ac:dyDescent="0.15">
      <c r="A98" s="12"/>
      <c r="C98" s="13"/>
      <c r="D98" s="4"/>
      <c r="E98" s="4"/>
      <c r="F98" s="4"/>
      <c r="G98" s="4"/>
      <c r="H98" s="4"/>
      <c r="I98" s="4"/>
      <c r="J98" s="4"/>
      <c r="K98" s="18"/>
      <c r="L98" s="18"/>
      <c r="M98" s="29"/>
      <c r="N98" s="3"/>
      <c r="O98" s="4"/>
    </row>
    <row r="99" spans="1:15" ht="21.75" customHeight="1" x14ac:dyDescent="0.15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9"/>
      <c r="N99" s="3"/>
      <c r="O99" s="4"/>
    </row>
    <row r="100" spans="1:15" ht="21.75" customHeight="1" x14ac:dyDescent="0.15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9"/>
      <c r="N100" s="3"/>
      <c r="O100" s="4"/>
    </row>
    <row r="101" spans="1:15" ht="21.75" customHeight="1" x14ac:dyDescent="0.15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9"/>
      <c r="N101" s="3"/>
      <c r="O101" s="4"/>
    </row>
    <row r="102" spans="1:15" ht="21.75" customHeight="1" x14ac:dyDescent="0.15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9"/>
      <c r="N102" s="3"/>
      <c r="O102" s="4"/>
    </row>
    <row r="103" spans="1:15" ht="21.75" customHeight="1" x14ac:dyDescent="0.15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9"/>
      <c r="N103" s="3"/>
      <c r="O103" s="4"/>
    </row>
    <row r="104" spans="1:15" ht="21.75" customHeight="1" x14ac:dyDescent="0.15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9"/>
      <c r="N104" s="3"/>
      <c r="O104" s="4"/>
    </row>
    <row r="105" spans="1:15" ht="21.75" customHeight="1" x14ac:dyDescent="0.15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9"/>
      <c r="N105" s="3"/>
      <c r="O105" s="4"/>
    </row>
    <row r="106" spans="1:15" ht="21.75" customHeight="1" x14ac:dyDescent="0.15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9"/>
      <c r="N106" s="3"/>
      <c r="O106" s="4"/>
    </row>
    <row r="107" spans="1:15" ht="21.75" customHeight="1" x14ac:dyDescent="0.15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9"/>
      <c r="N107" s="3"/>
      <c r="O107" s="4"/>
    </row>
    <row r="108" spans="1:15" ht="21.75" customHeight="1" x14ac:dyDescent="0.15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9"/>
      <c r="N108" s="3"/>
      <c r="O108" s="4"/>
    </row>
    <row r="109" spans="1:15" ht="21.75" customHeight="1" x14ac:dyDescent="0.15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9"/>
      <c r="N109" s="3"/>
      <c r="O109" s="4"/>
    </row>
    <row r="110" spans="1:15" ht="21.75" customHeight="1" x14ac:dyDescent="0.15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9"/>
      <c r="N110" s="3"/>
      <c r="O110" s="4"/>
    </row>
    <row r="111" spans="1:15" ht="21.75" customHeight="1" x14ac:dyDescent="0.15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9"/>
      <c r="N111" s="3"/>
      <c r="O111" s="4"/>
    </row>
    <row r="112" spans="1:15" ht="21.75" customHeight="1" x14ac:dyDescent="0.15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9"/>
      <c r="N112" s="3"/>
      <c r="O112" s="4"/>
    </row>
    <row r="113" spans="1:15" ht="21.75" customHeight="1" x14ac:dyDescent="0.15">
      <c r="A113" s="12"/>
      <c r="C113" s="13"/>
      <c r="D113" s="4"/>
      <c r="E113" s="4"/>
      <c r="F113" s="4"/>
      <c r="G113" s="4"/>
      <c r="H113" s="4"/>
      <c r="I113" s="4"/>
      <c r="J113" s="4"/>
      <c r="K113" s="18"/>
      <c r="L113" s="18"/>
      <c r="M113" s="29"/>
      <c r="N113" s="3"/>
      <c r="O113" s="4"/>
    </row>
    <row r="114" spans="1:15" ht="21.75" customHeight="1" x14ac:dyDescent="0.15">
      <c r="A114" s="12"/>
      <c r="C114" s="13"/>
      <c r="D114" s="4"/>
      <c r="E114" s="4"/>
      <c r="F114" s="4"/>
      <c r="G114" s="4"/>
      <c r="H114" s="4"/>
      <c r="I114" s="4"/>
      <c r="J114" s="4"/>
      <c r="K114" s="18"/>
      <c r="L114" s="18"/>
      <c r="M114" s="29"/>
      <c r="N114" s="3"/>
      <c r="O114" s="4"/>
    </row>
    <row r="115" spans="1:15" ht="21.75" customHeight="1" x14ac:dyDescent="0.15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9"/>
      <c r="N115" s="3"/>
      <c r="O115" s="4"/>
    </row>
    <row r="116" spans="1:15" ht="21.75" customHeight="1" x14ac:dyDescent="0.15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9"/>
      <c r="N116" s="3"/>
      <c r="O116" s="4"/>
    </row>
    <row r="117" spans="1:15" ht="21.75" customHeight="1" x14ac:dyDescent="0.15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9"/>
      <c r="N117" s="3"/>
      <c r="O117" s="4"/>
    </row>
    <row r="118" spans="1:15" ht="21.75" customHeight="1" x14ac:dyDescent="0.15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9"/>
      <c r="N118" s="3"/>
      <c r="O118" s="4"/>
    </row>
    <row r="119" spans="1:15" ht="21.75" customHeight="1" x14ac:dyDescent="0.15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9"/>
      <c r="N119" s="3"/>
      <c r="O119" s="4"/>
    </row>
    <row r="120" spans="1:15" ht="21.75" customHeight="1" x14ac:dyDescent="0.15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9"/>
      <c r="N120" s="3"/>
      <c r="O120" s="4"/>
    </row>
    <row r="121" spans="1:15" ht="21.75" customHeight="1" x14ac:dyDescent="0.15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9"/>
      <c r="N121" s="3"/>
      <c r="O121" s="4"/>
    </row>
    <row r="122" spans="1:15" ht="21.75" customHeight="1" x14ac:dyDescent="0.15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9"/>
      <c r="N122" s="3"/>
      <c r="O122" s="4"/>
    </row>
    <row r="123" spans="1:15" ht="21.75" customHeight="1" x14ac:dyDescent="0.15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9"/>
      <c r="N123" s="3"/>
      <c r="O123" s="4"/>
    </row>
    <row r="124" spans="1:15" ht="21.75" customHeight="1" x14ac:dyDescent="0.15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9"/>
      <c r="N124" s="3"/>
      <c r="O124" s="4"/>
    </row>
    <row r="125" spans="1:15" ht="21.75" customHeight="1" x14ac:dyDescent="0.15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9"/>
      <c r="N125" s="3"/>
      <c r="O125" s="4"/>
    </row>
    <row r="126" spans="1:15" ht="21.75" customHeight="1" x14ac:dyDescent="0.15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9"/>
      <c r="N126" s="3"/>
      <c r="O126" s="4"/>
    </row>
    <row r="127" spans="1:15" ht="21.75" customHeight="1" x14ac:dyDescent="0.15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9"/>
      <c r="N127" s="3"/>
      <c r="O127" s="4"/>
    </row>
    <row r="128" spans="1:15" ht="21.75" customHeight="1" x14ac:dyDescent="0.15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9"/>
      <c r="N128" s="3"/>
      <c r="O128" s="4"/>
    </row>
    <row r="129" spans="1:15" ht="21.75" customHeight="1" x14ac:dyDescent="0.15">
      <c r="A129" s="12"/>
      <c r="C129" s="13"/>
      <c r="D129" s="4"/>
      <c r="E129" s="4"/>
      <c r="F129" s="4"/>
      <c r="G129" s="4"/>
      <c r="H129" s="4"/>
      <c r="I129" s="4"/>
      <c r="J129" s="4"/>
      <c r="K129" s="18"/>
      <c r="L129" s="18"/>
      <c r="M129" s="29"/>
      <c r="N129" s="3"/>
      <c r="O129" s="4"/>
    </row>
    <row r="130" spans="1:15" ht="21.75" customHeight="1" x14ac:dyDescent="0.15">
      <c r="A130" s="12"/>
      <c r="C130" s="13"/>
      <c r="D130" s="4"/>
      <c r="E130" s="4"/>
      <c r="F130" s="4"/>
      <c r="G130" s="4"/>
      <c r="H130" s="4"/>
      <c r="I130" s="4"/>
      <c r="J130" s="4"/>
      <c r="K130" s="18"/>
      <c r="L130" s="18"/>
      <c r="M130" s="29"/>
      <c r="N130" s="3"/>
      <c r="O130" s="4"/>
    </row>
    <row r="131" spans="1:15" ht="21.75" customHeight="1" x14ac:dyDescent="0.15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9"/>
      <c r="N131" s="3"/>
      <c r="O131" s="4"/>
    </row>
    <row r="132" spans="1:15" ht="21.75" customHeight="1" x14ac:dyDescent="0.15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9"/>
      <c r="N132" s="3"/>
      <c r="O132" s="4"/>
    </row>
    <row r="133" spans="1:15" ht="21.75" customHeight="1" x14ac:dyDescent="0.15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9"/>
      <c r="N133" s="3"/>
      <c r="O133" s="4"/>
    </row>
    <row r="134" spans="1:15" ht="21.75" customHeight="1" x14ac:dyDescent="0.15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9"/>
      <c r="N134" s="3"/>
      <c r="O134" s="4"/>
    </row>
    <row r="135" spans="1:15" ht="21.75" customHeight="1" x14ac:dyDescent="0.15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9"/>
      <c r="N135" s="3"/>
      <c r="O135" s="4"/>
    </row>
    <row r="136" spans="1:15" ht="21.75" customHeight="1" x14ac:dyDescent="0.15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9"/>
      <c r="N136" s="3"/>
      <c r="O136" s="4"/>
    </row>
    <row r="137" spans="1:15" ht="21.75" customHeight="1" x14ac:dyDescent="0.15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9"/>
      <c r="N137" s="3"/>
      <c r="O137" s="4"/>
    </row>
    <row r="138" spans="1:15" ht="21.75" customHeight="1" x14ac:dyDescent="0.15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9"/>
      <c r="N138" s="3"/>
      <c r="O138" s="4"/>
    </row>
    <row r="139" spans="1:15" ht="21.75" customHeight="1" x14ac:dyDescent="0.15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9"/>
      <c r="N139" s="3"/>
      <c r="O139" s="4"/>
    </row>
    <row r="140" spans="1:15" ht="21.75" customHeight="1" x14ac:dyDescent="0.15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9"/>
      <c r="N140" s="3"/>
      <c r="O140" s="4"/>
    </row>
    <row r="141" spans="1:15" ht="21.75" customHeight="1" x14ac:dyDescent="0.15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9"/>
      <c r="N141" s="3"/>
      <c r="O141" s="4"/>
    </row>
    <row r="142" spans="1:15" ht="21.75" customHeight="1" x14ac:dyDescent="0.15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9"/>
      <c r="N142" s="3"/>
      <c r="O142" s="4"/>
    </row>
    <row r="143" spans="1:15" ht="21.75" customHeight="1" x14ac:dyDescent="0.15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9"/>
      <c r="N143" s="3"/>
      <c r="O143" s="4"/>
    </row>
    <row r="144" spans="1:15" ht="21.75" customHeight="1" x14ac:dyDescent="0.15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9"/>
      <c r="N144" s="3"/>
      <c r="O144" s="4"/>
    </row>
    <row r="145" spans="1:15" ht="21.75" customHeight="1" x14ac:dyDescent="0.15">
      <c r="A145" s="12"/>
      <c r="C145" s="13"/>
      <c r="D145" s="4"/>
      <c r="E145" s="4"/>
      <c r="F145" s="4"/>
      <c r="G145" s="4"/>
      <c r="H145" s="4"/>
      <c r="I145" s="4"/>
      <c r="J145" s="4"/>
      <c r="K145" s="18"/>
      <c r="L145" s="18"/>
      <c r="M145" s="29"/>
      <c r="N145" s="3"/>
      <c r="O145" s="4"/>
    </row>
    <row r="146" spans="1:15" ht="21.75" customHeight="1" x14ac:dyDescent="0.15">
      <c r="A146" s="12"/>
      <c r="C146" s="13"/>
      <c r="D146" s="4"/>
      <c r="E146" s="4"/>
      <c r="F146" s="4"/>
      <c r="G146" s="4"/>
      <c r="H146" s="4"/>
      <c r="I146" s="4"/>
      <c r="J146" s="4"/>
      <c r="K146" s="18"/>
      <c r="L146" s="18"/>
      <c r="M146" s="29"/>
      <c r="N146" s="3"/>
      <c r="O146" s="4"/>
    </row>
    <row r="147" spans="1:15" ht="21.75" customHeight="1" x14ac:dyDescent="0.15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9"/>
      <c r="N147" s="3"/>
      <c r="O147" s="4"/>
    </row>
    <row r="148" spans="1:15" ht="21.75" customHeight="1" x14ac:dyDescent="0.15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9"/>
      <c r="N148" s="3"/>
      <c r="O148" s="4"/>
    </row>
    <row r="149" spans="1:15" ht="21.75" customHeight="1" x14ac:dyDescent="0.15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9"/>
      <c r="N149" s="3"/>
      <c r="O149" s="4"/>
    </row>
    <row r="150" spans="1:15" ht="21.75" customHeight="1" x14ac:dyDescent="0.15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9"/>
      <c r="N150" s="3"/>
      <c r="O150" s="4"/>
    </row>
    <row r="151" spans="1:15" ht="21.75" customHeight="1" x14ac:dyDescent="0.15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9"/>
      <c r="N151" s="3"/>
      <c r="O151" s="4"/>
    </row>
    <row r="152" spans="1:15" ht="21.75" customHeight="1" x14ac:dyDescent="0.15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9"/>
      <c r="N152" s="3"/>
      <c r="O152" s="4"/>
    </row>
    <row r="153" spans="1:15" ht="21.75" customHeight="1" x14ac:dyDescent="0.15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9"/>
      <c r="N153" s="3"/>
      <c r="O153" s="4"/>
    </row>
    <row r="154" spans="1:15" ht="21.75" customHeight="1" x14ac:dyDescent="0.15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9"/>
      <c r="N154" s="3"/>
      <c r="O154" s="4"/>
    </row>
    <row r="155" spans="1:15" ht="21.75" customHeight="1" x14ac:dyDescent="0.15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9"/>
      <c r="N155" s="3"/>
      <c r="O155" s="4"/>
    </row>
    <row r="156" spans="1:15" ht="21.75" customHeight="1" x14ac:dyDescent="0.15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9"/>
      <c r="N156" s="3"/>
      <c r="O156" s="4"/>
    </row>
    <row r="157" spans="1:15" ht="21.75" customHeight="1" x14ac:dyDescent="0.15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9"/>
      <c r="N157" s="3"/>
      <c r="O157" s="4"/>
    </row>
    <row r="158" spans="1:15" ht="21.75" customHeight="1" x14ac:dyDescent="0.15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9"/>
      <c r="N158" s="3"/>
      <c r="O158" s="4"/>
    </row>
    <row r="159" spans="1:15" ht="21.75" customHeight="1" x14ac:dyDescent="0.15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9"/>
      <c r="N159" s="3"/>
      <c r="O159" s="4"/>
    </row>
    <row r="160" spans="1:15" ht="21.75" customHeight="1" x14ac:dyDescent="0.15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9"/>
      <c r="N160" s="3"/>
      <c r="O160" s="4"/>
    </row>
    <row r="161" spans="1:15" ht="21.75" customHeight="1" x14ac:dyDescent="0.15">
      <c r="A161" s="12"/>
      <c r="C161" s="13"/>
      <c r="D161" s="4"/>
      <c r="E161" s="4"/>
      <c r="F161" s="4"/>
      <c r="G161" s="4"/>
      <c r="H161" s="4"/>
      <c r="I161" s="4"/>
      <c r="J161" s="4"/>
      <c r="K161" s="18"/>
      <c r="L161" s="18"/>
      <c r="M161" s="29"/>
      <c r="N161" s="3"/>
      <c r="O161" s="4"/>
    </row>
    <row r="162" spans="1:15" ht="21.75" customHeight="1" x14ac:dyDescent="0.15">
      <c r="A162" s="12"/>
      <c r="C162" s="13"/>
      <c r="D162" s="4"/>
      <c r="E162" s="4"/>
      <c r="F162" s="4"/>
      <c r="G162" s="4"/>
      <c r="H162" s="4"/>
      <c r="I162" s="4"/>
      <c r="J162" s="4"/>
      <c r="K162" s="18"/>
      <c r="L162" s="18"/>
      <c r="M162" s="29"/>
      <c r="N162" s="3"/>
      <c r="O162" s="4"/>
    </row>
    <row r="163" spans="1:15" ht="21.75" customHeight="1" x14ac:dyDescent="0.15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9"/>
      <c r="N163" s="3"/>
      <c r="O163" s="4"/>
    </row>
    <row r="164" spans="1:15" ht="21.75" customHeight="1" x14ac:dyDescent="0.15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9"/>
      <c r="N164" s="3"/>
      <c r="O164" s="4"/>
    </row>
    <row r="165" spans="1:15" ht="21.75" customHeight="1" x14ac:dyDescent="0.15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9"/>
      <c r="N165" s="3"/>
      <c r="O165" s="4"/>
    </row>
    <row r="166" spans="1:15" ht="21.75" customHeight="1" x14ac:dyDescent="0.15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9"/>
      <c r="N166" s="3"/>
      <c r="O166" s="4"/>
    </row>
    <row r="167" spans="1:15" ht="21.75" customHeight="1" x14ac:dyDescent="0.15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9"/>
      <c r="N167" s="3"/>
      <c r="O167" s="4"/>
    </row>
    <row r="168" spans="1:15" ht="21.75" customHeight="1" x14ac:dyDescent="0.15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9"/>
      <c r="N168" s="3"/>
      <c r="O168" s="4"/>
    </row>
    <row r="169" spans="1:15" ht="21.75" customHeight="1" x14ac:dyDescent="0.15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9"/>
      <c r="N169" s="3"/>
      <c r="O169" s="4"/>
    </row>
    <row r="170" spans="1:15" ht="21.75" customHeight="1" x14ac:dyDescent="0.15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9"/>
      <c r="N170" s="3"/>
      <c r="O170" s="4"/>
    </row>
    <row r="171" spans="1:15" ht="21.75" customHeight="1" x14ac:dyDescent="0.15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9"/>
      <c r="N171" s="3"/>
      <c r="O171" s="4"/>
    </row>
    <row r="172" spans="1:15" ht="21.75" customHeight="1" x14ac:dyDescent="0.15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9"/>
      <c r="N172" s="3"/>
      <c r="O172" s="4"/>
    </row>
    <row r="173" spans="1:15" ht="21.75" customHeight="1" x14ac:dyDescent="0.15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9"/>
      <c r="N173" s="3"/>
      <c r="O173" s="4"/>
    </row>
    <row r="174" spans="1:15" ht="21.75" customHeight="1" x14ac:dyDescent="0.15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9"/>
      <c r="N174" s="3"/>
      <c r="O174" s="4"/>
    </row>
    <row r="175" spans="1:15" ht="21.75" customHeight="1" x14ac:dyDescent="0.15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9"/>
      <c r="N175" s="3"/>
      <c r="O175" s="4"/>
    </row>
    <row r="176" spans="1:15" ht="21.75" customHeight="1" x14ac:dyDescent="0.15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9"/>
      <c r="N176" s="3"/>
      <c r="O176" s="4"/>
    </row>
    <row r="177" spans="1:15" ht="21.75" customHeight="1" x14ac:dyDescent="0.15">
      <c r="A177" s="12"/>
      <c r="C177" s="13"/>
      <c r="D177" s="4"/>
      <c r="E177" s="4"/>
      <c r="F177" s="4"/>
      <c r="G177" s="4"/>
      <c r="H177" s="4"/>
      <c r="I177" s="4"/>
      <c r="J177" s="4"/>
      <c r="K177" s="18"/>
      <c r="L177" s="18"/>
      <c r="M177" s="29"/>
      <c r="N177" s="3"/>
      <c r="O177" s="4"/>
    </row>
    <row r="178" spans="1:15" ht="21.75" customHeight="1" x14ac:dyDescent="0.15">
      <c r="A178" s="12"/>
      <c r="C178" s="13"/>
      <c r="D178" s="4"/>
      <c r="E178" s="4"/>
      <c r="F178" s="4"/>
      <c r="G178" s="4"/>
      <c r="H178" s="4"/>
      <c r="I178" s="4"/>
      <c r="J178" s="4"/>
      <c r="K178" s="18"/>
      <c r="L178" s="18"/>
      <c r="M178" s="29"/>
      <c r="N178" s="3"/>
      <c r="O178" s="4"/>
    </row>
    <row r="179" spans="1:15" ht="21.75" customHeight="1" x14ac:dyDescent="0.15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9"/>
      <c r="N179" s="3"/>
      <c r="O179" s="4"/>
    </row>
    <row r="180" spans="1:15" ht="21.75" customHeight="1" x14ac:dyDescent="0.15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9"/>
      <c r="N180" s="3"/>
      <c r="O180" s="4"/>
    </row>
    <row r="181" spans="1:15" ht="21.75" customHeight="1" x14ac:dyDescent="0.15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9"/>
      <c r="N181" s="3"/>
      <c r="O181" s="4"/>
    </row>
    <row r="182" spans="1:15" ht="21.75" customHeight="1" x14ac:dyDescent="0.15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9"/>
      <c r="N182" s="3"/>
      <c r="O182" s="4"/>
    </row>
    <row r="183" spans="1:15" ht="21.75" customHeight="1" x14ac:dyDescent="0.15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9"/>
      <c r="N183" s="3"/>
      <c r="O183" s="4"/>
    </row>
    <row r="184" spans="1:15" ht="21.75" customHeight="1" x14ac:dyDescent="0.15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9"/>
      <c r="N184" s="3"/>
      <c r="O184" s="4"/>
    </row>
    <row r="185" spans="1:15" ht="21.75" customHeight="1" x14ac:dyDescent="0.15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9"/>
      <c r="N185" s="3"/>
      <c r="O185" s="4"/>
    </row>
    <row r="186" spans="1:15" ht="21.75" customHeight="1" x14ac:dyDescent="0.15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9"/>
      <c r="N186" s="3"/>
      <c r="O186" s="4"/>
    </row>
    <row r="187" spans="1:15" ht="21.75" customHeight="1" x14ac:dyDescent="0.15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9"/>
      <c r="N187" s="3"/>
      <c r="O187" s="4"/>
    </row>
    <row r="188" spans="1:15" ht="21.75" customHeight="1" x14ac:dyDescent="0.15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9"/>
      <c r="N188" s="3"/>
      <c r="O188" s="4"/>
    </row>
    <row r="189" spans="1:15" ht="21.75" customHeight="1" x14ac:dyDescent="0.15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9"/>
      <c r="N189" s="3"/>
      <c r="O189" s="4"/>
    </row>
    <row r="190" spans="1:15" ht="21.75" customHeight="1" x14ac:dyDescent="0.15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9"/>
      <c r="N190" s="3"/>
      <c r="O190" s="4"/>
    </row>
    <row r="191" spans="1:15" ht="21.75" customHeight="1" x14ac:dyDescent="0.15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9"/>
      <c r="N191" s="3"/>
      <c r="O191" s="4"/>
    </row>
    <row r="192" spans="1:15" ht="21.75" customHeight="1" x14ac:dyDescent="0.15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9"/>
      <c r="N192" s="3"/>
      <c r="O192" s="4"/>
    </row>
    <row r="193" spans="1:15" ht="21.75" customHeight="1" x14ac:dyDescent="0.15">
      <c r="A193" s="12"/>
      <c r="C193" s="13"/>
      <c r="D193" s="4"/>
      <c r="E193" s="4"/>
      <c r="F193" s="4"/>
      <c r="G193" s="4"/>
      <c r="H193" s="4"/>
      <c r="I193" s="4"/>
      <c r="J193" s="4"/>
      <c r="K193" s="18"/>
      <c r="L193" s="18"/>
      <c r="M193" s="29"/>
      <c r="N193" s="3"/>
      <c r="O193" s="4"/>
    </row>
    <row r="194" spans="1:15" ht="21.75" customHeight="1" x14ac:dyDescent="0.15">
      <c r="A194" s="12"/>
      <c r="C194" s="13"/>
      <c r="D194" s="4"/>
      <c r="E194" s="4"/>
      <c r="F194" s="4"/>
      <c r="G194" s="4"/>
      <c r="H194" s="4"/>
      <c r="I194" s="4"/>
      <c r="J194" s="4"/>
      <c r="K194" s="18"/>
      <c r="L194" s="18"/>
      <c r="M194" s="29"/>
      <c r="N194" s="3"/>
      <c r="O194" s="4"/>
    </row>
    <row r="195" spans="1:15" ht="21.75" customHeight="1" x14ac:dyDescent="0.15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9"/>
      <c r="N195" s="3"/>
      <c r="O195" s="4"/>
    </row>
    <row r="196" spans="1:15" ht="21.75" customHeight="1" x14ac:dyDescent="0.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9"/>
      <c r="N196" s="3"/>
      <c r="O196" s="4"/>
    </row>
    <row r="197" spans="1:15" x14ac:dyDescent="0.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 x14ac:dyDescent="0.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 x14ac:dyDescent="0.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 x14ac:dyDescent="0.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 x14ac:dyDescent="0.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 x14ac:dyDescent="0.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 x14ac:dyDescent="0.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 x14ac:dyDescent="0.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 x14ac:dyDescent="0.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 x14ac:dyDescent="0.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 x14ac:dyDescent="0.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 x14ac:dyDescent="0.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 x14ac:dyDescent="0.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hyperlinks>
    <hyperlink ref="A4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LISTBOX_DATA!$C$1:$C$5</xm:f>
          </x14:formula1>
          <xm:sqref>E20:E52</xm:sqref>
        </x14:dataValidation>
        <x14:dataValidation type="list" allowBlank="1" showInputMessage="1" showErrorMessage="1">
          <x14:formula1>
            <xm:f>LISTBOX_DATA!$B$1:$B$12</xm:f>
          </x14:formula1>
          <xm:sqref>D20:D21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LISTBOX_DATA!$F$1:$F$2</xm:f>
          </x14:formula1>
          <xm:sqref>A20:A21 B14:B15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499984740745262"/>
  </sheetPr>
  <dimension ref="A1:F12"/>
  <sheetViews>
    <sheetView zoomScaleNormal="100" workbookViewId="0"/>
  </sheetViews>
  <sheetFormatPr defaultColWidth="9" defaultRowHeight="15" x14ac:dyDescent="0.15"/>
  <cols>
    <col min="1" max="1" width="9" style="1" customWidth="1"/>
    <col min="2" max="4" width="9" style="1"/>
    <col min="5" max="5" width="10.625" style="1" bestFit="1" customWidth="1"/>
    <col min="6" max="6" width="9" style="56"/>
    <col min="7" max="16384" width="9" style="1"/>
  </cols>
  <sheetData>
    <row r="1" spans="1:6" x14ac:dyDescent="0.15">
      <c r="A1" s="1" t="s">
        <v>22</v>
      </c>
      <c r="B1" s="1" t="s">
        <v>40</v>
      </c>
      <c r="C1" s="1" t="s">
        <v>50</v>
      </c>
      <c r="D1" s="1" t="s">
        <v>43</v>
      </c>
      <c r="E1" s="1" t="s">
        <v>51</v>
      </c>
      <c r="F1" s="56" t="s">
        <v>77</v>
      </c>
    </row>
    <row r="2" spans="1:6" x14ac:dyDescent="0.15">
      <c r="A2" s="1" t="s">
        <v>18</v>
      </c>
      <c r="B2" s="1" t="s">
        <v>25</v>
      </c>
      <c r="C2" s="1" t="s">
        <v>26</v>
      </c>
      <c r="D2" s="1" t="s">
        <v>44</v>
      </c>
      <c r="E2" s="1" t="s">
        <v>31</v>
      </c>
      <c r="F2" s="56" t="s">
        <v>78</v>
      </c>
    </row>
    <row r="3" spans="1:6" x14ac:dyDescent="0.15">
      <c r="A3" s="1" t="s">
        <v>118</v>
      </c>
      <c r="B3" s="1" t="s">
        <v>20</v>
      </c>
      <c r="C3" s="1" t="s">
        <v>16</v>
      </c>
      <c r="D3" s="1" t="s">
        <v>45</v>
      </c>
      <c r="E3" s="1" t="s">
        <v>46</v>
      </c>
    </row>
    <row r="4" spans="1:6" x14ac:dyDescent="0.15">
      <c r="A4" s="1" t="s">
        <v>117</v>
      </c>
      <c r="B4" s="1" t="s">
        <v>28</v>
      </c>
      <c r="C4" s="1" t="s">
        <v>15</v>
      </c>
      <c r="D4" s="1" t="s">
        <v>42</v>
      </c>
      <c r="E4" s="1" t="s">
        <v>53</v>
      </c>
    </row>
    <row r="5" spans="1:6" x14ac:dyDescent="0.15">
      <c r="A5" s="1" t="s">
        <v>119</v>
      </c>
      <c r="B5" s="1" t="s">
        <v>55</v>
      </c>
      <c r="C5" s="1" t="s">
        <v>53</v>
      </c>
      <c r="D5" s="1" t="s">
        <v>41</v>
      </c>
    </row>
    <row r="6" spans="1:6" x14ac:dyDescent="0.15">
      <c r="A6" s="1" t="s">
        <v>23</v>
      </c>
      <c r="B6" s="1" t="s">
        <v>38</v>
      </c>
    </row>
    <row r="7" spans="1:6" x14ac:dyDescent="0.15">
      <c r="B7" s="1" t="s">
        <v>36</v>
      </c>
    </row>
    <row r="8" spans="1:6" x14ac:dyDescent="0.15">
      <c r="B8" s="1" t="s">
        <v>19</v>
      </c>
    </row>
    <row r="9" spans="1:6" x14ac:dyDescent="0.15">
      <c r="B9" s="1" t="s">
        <v>27</v>
      </c>
    </row>
    <row r="10" spans="1:6" x14ac:dyDescent="0.15">
      <c r="B10" s="1" t="s">
        <v>292</v>
      </c>
    </row>
    <row r="11" spans="1:6" x14ac:dyDescent="0.15">
      <c r="B11" s="1" t="s">
        <v>17</v>
      </c>
    </row>
    <row r="12" spans="1:6" x14ac:dyDescent="0.15">
      <c r="B12" s="1" t="s">
        <v>24</v>
      </c>
    </row>
  </sheetData>
  <sortState ref="B1:B13">
    <sortCondition ref="B1"/>
  </sortState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141</vt:i4>
      </vt:variant>
    </vt:vector>
  </HeadingPairs>
  <TitlesOfParts>
    <vt:vector size="147" baseType="lpstr">
      <vt:lpstr>sample_commandReference</vt:lpstr>
      <vt:lpstr>template</vt:lpstr>
      <vt:lpstr>BATCH</vt:lpstr>
      <vt:lpstr>REPORT_RESULTS</vt:lpstr>
      <vt:lpstr>UPDATES</vt:lpstr>
      <vt:lpstr>LISTBOX_DATA</vt:lpstr>
      <vt:lpstr>REPORT_RESULTS!ActionTarget</vt:lpstr>
      <vt:lpstr>sample_commandReference!ActionTarget</vt:lpstr>
      <vt:lpstr>UPDATES!ActionTarget</vt:lpstr>
      <vt:lpstr>ActionTarget</vt:lpstr>
      <vt:lpstr>REPORT_RESULTS!ActionValue</vt:lpstr>
      <vt:lpstr>sample_commandReference!ActionValue</vt:lpstr>
      <vt:lpstr>UPDATES!ActionValue</vt:lpstr>
      <vt:lpstr>ActionValue</vt:lpstr>
      <vt:lpstr>REPORT_RESULTS!ActualResult</vt:lpstr>
      <vt:lpstr>sample_commandReference!ActualResult</vt:lpstr>
      <vt:lpstr>UPDATES!ActualResult</vt:lpstr>
      <vt:lpstr>ActualResult</vt:lpstr>
      <vt:lpstr>AutoRun</vt:lpstr>
      <vt:lpstr>REPORT_RESULTS!baseURL</vt:lpstr>
      <vt:lpstr>sample_commandReference!baseURL</vt:lpstr>
      <vt:lpstr>UPDATES!baseURL</vt:lpstr>
      <vt:lpstr>baseURL</vt:lpstr>
      <vt:lpstr>BATCH!batchTarget</vt:lpstr>
      <vt:lpstr>REPORT_RESULTS!Command</vt:lpstr>
      <vt:lpstr>sample_commandReference!Command</vt:lpstr>
      <vt:lpstr>UPDATES!Command</vt:lpstr>
      <vt:lpstr>Command</vt:lpstr>
      <vt:lpstr>BATCH!DeleteCookie</vt:lpstr>
      <vt:lpstr>REPORT_RESULTS!DeleteCookie</vt:lpstr>
      <vt:lpstr>sample_commandReference!DeleteCookie</vt:lpstr>
      <vt:lpstr>UPDATES!DeleteCookie</vt:lpstr>
      <vt:lpstr>DeleteCookie</vt:lpstr>
      <vt:lpstr>REPORT_RESULTS!Description</vt:lpstr>
      <vt:lpstr>sample_commandReference!Description</vt:lpstr>
      <vt:lpstr>UPDATES!Description</vt:lpstr>
      <vt:lpstr>Description</vt:lpstr>
      <vt:lpstr>REPORT_RESULTS!Error_Message</vt:lpstr>
      <vt:lpstr>sample_commandReference!Error_Message</vt:lpstr>
      <vt:lpstr>UPDATES!Error_Message</vt:lpstr>
      <vt:lpstr>Error_Message</vt:lpstr>
      <vt:lpstr>REPORT_RESULTS!ExpectedResult</vt:lpstr>
      <vt:lpstr>sample_commandReference!ExpectedResult</vt:lpstr>
      <vt:lpstr>UPDATES!ExpectedResult</vt:lpstr>
      <vt:lpstr>ExpectedResult</vt:lpstr>
      <vt:lpstr>BATCH!Failed</vt:lpstr>
      <vt:lpstr>REPORT_RESULTS!Failed</vt:lpstr>
      <vt:lpstr>sample_commandReference!Failed</vt:lpstr>
      <vt:lpstr>UPDATES!Failed</vt:lpstr>
      <vt:lpstr>Failed</vt:lpstr>
      <vt:lpstr>REPORT_RESULTS!FindMethod</vt:lpstr>
      <vt:lpstr>sample_commandReference!FindMethod</vt:lpstr>
      <vt:lpstr>UPDATES!FindMethod</vt:lpstr>
      <vt:lpstr>FindMethod</vt:lpstr>
      <vt:lpstr>REPORT_RESULTS!LastUpdate</vt:lpstr>
      <vt:lpstr>sample_commandReference!LastUpdate</vt:lpstr>
      <vt:lpstr>UPDATES!LastUpdate</vt:lpstr>
      <vt:lpstr>LastUpdate</vt:lpstr>
      <vt:lpstr>REPORT_RESULTS!Memo</vt:lpstr>
      <vt:lpstr>sample_commandReference!Memo</vt:lpstr>
      <vt:lpstr>UPDATES!Memo</vt:lpstr>
      <vt:lpstr>Memo</vt:lpstr>
      <vt:lpstr>BATCH!NotTested</vt:lpstr>
      <vt:lpstr>REPORT_RESULTS!NotTested</vt:lpstr>
      <vt:lpstr>sample_commandReference!NotTested</vt:lpstr>
      <vt:lpstr>UPDATES!NotTested</vt:lpstr>
      <vt:lpstr>NotTested</vt:lpstr>
      <vt:lpstr>BATCH!Passed</vt:lpstr>
      <vt:lpstr>REPORT_RESULTS!Passed</vt:lpstr>
      <vt:lpstr>sample_commandReference!Passed</vt:lpstr>
      <vt:lpstr>UPDATES!Passed</vt:lpstr>
      <vt:lpstr>Passed</vt:lpstr>
      <vt:lpstr>BATCH!Progressrate</vt:lpstr>
      <vt:lpstr>REPORT_RESULTS!Progressrate</vt:lpstr>
      <vt:lpstr>sample_commandReference!Progressrate</vt:lpstr>
      <vt:lpstr>UPDATES!Progressrate</vt:lpstr>
      <vt:lpstr>Progressrate</vt:lpstr>
      <vt:lpstr>BATCH!ReportResults</vt:lpstr>
      <vt:lpstr>REPORT_RESULTS!ReportResults</vt:lpstr>
      <vt:lpstr>sample_commandReference!ReportResults</vt:lpstr>
      <vt:lpstr>UPDATES!ReportResults</vt:lpstr>
      <vt:lpstr>ReportResults</vt:lpstr>
      <vt:lpstr>REPORT_RESULTS!Result</vt:lpstr>
      <vt:lpstr>sample_commandReference!Result</vt:lpstr>
      <vt:lpstr>UPDATES!Result</vt:lpstr>
      <vt:lpstr>Result</vt:lpstr>
      <vt:lpstr>ResultsSummary</vt:lpstr>
      <vt:lpstr>BATCH!runTarget</vt:lpstr>
      <vt:lpstr>REPORT_RESULTS!runTarget</vt:lpstr>
      <vt:lpstr>sample_commandReference!runTarget</vt:lpstr>
      <vt:lpstr>UPDATES!runTarget</vt:lpstr>
      <vt:lpstr>runTarget</vt:lpstr>
      <vt:lpstr>REPORT_RESULTS!ScreenshotPath</vt:lpstr>
      <vt:lpstr>sample_commandReference!ScreenshotPath</vt:lpstr>
      <vt:lpstr>UPDATES!ScreenshotPath</vt:lpstr>
      <vt:lpstr>ScreenshotPath</vt:lpstr>
      <vt:lpstr>REPORT_RESULTS!scriptID</vt:lpstr>
      <vt:lpstr>sample_commandReference!scriptID</vt:lpstr>
      <vt:lpstr>UPDATES!scriptID</vt:lpstr>
      <vt:lpstr>scriptID</vt:lpstr>
      <vt:lpstr>BATCH!SheetName</vt:lpstr>
      <vt:lpstr>BATCH!Skipped</vt:lpstr>
      <vt:lpstr>REPORT_RESULTS!Skipped</vt:lpstr>
      <vt:lpstr>sample_commandReference!Skipped</vt:lpstr>
      <vt:lpstr>UPDATES!Skipped</vt:lpstr>
      <vt:lpstr>Skipped</vt:lpstr>
      <vt:lpstr>BATCH!status</vt:lpstr>
      <vt:lpstr>REPORT_RESULTS!targetBrowser</vt:lpstr>
      <vt:lpstr>sample_commandReference!targetBrowser</vt:lpstr>
      <vt:lpstr>UPDATES!targetBrowser</vt:lpstr>
      <vt:lpstr>targetBrowser</vt:lpstr>
      <vt:lpstr>REPORT_RESULTS!TestScript</vt:lpstr>
      <vt:lpstr>TestScript</vt:lpstr>
      <vt:lpstr>REPORT_RESULTS!TestScriptLabel</vt:lpstr>
      <vt:lpstr>sample_commandReference!TestScriptLabel</vt:lpstr>
      <vt:lpstr>UPDATES!TestScriptLabel</vt:lpstr>
      <vt:lpstr>TestScriptLabel</vt:lpstr>
      <vt:lpstr>BATCH!testTitle</vt:lpstr>
      <vt:lpstr>REPORT_RESULTS!testTitle</vt:lpstr>
      <vt:lpstr>sample_commandReference!testTitle</vt:lpstr>
      <vt:lpstr>UPDATES!testTitle</vt:lpstr>
      <vt:lpstr>testTitle</vt:lpstr>
      <vt:lpstr>BATCH!Total</vt:lpstr>
      <vt:lpstr>REPORT_RESULTS!Total</vt:lpstr>
      <vt:lpstr>sample_commandReference!Total</vt:lpstr>
      <vt:lpstr>UPDATES!Total</vt:lpstr>
      <vt:lpstr>Total</vt:lpstr>
      <vt:lpstr>REPORT_RESULTS!VerificationCommand</vt:lpstr>
      <vt:lpstr>sample_commandReference!VerificationCommand</vt:lpstr>
      <vt:lpstr>UPDATES!VerificationCommand</vt:lpstr>
      <vt:lpstr>VerificationCommand</vt:lpstr>
      <vt:lpstr>REPORT_RESULTS!Verificationmethod</vt:lpstr>
      <vt:lpstr>sample_commandReference!Verificationmethod</vt:lpstr>
      <vt:lpstr>UPDATES!Verificationmethod</vt:lpstr>
      <vt:lpstr>Verificationmethod</vt:lpstr>
      <vt:lpstr>REPORT_RESULTS!VerificationTarget</vt:lpstr>
      <vt:lpstr>sample_commandReference!VerificationTarget</vt:lpstr>
      <vt:lpstr>UPDATES!VerificationTarget</vt:lpstr>
      <vt:lpstr>VerificationTarget</vt:lpstr>
      <vt:lpstr>REPORT_RESULTS!windowSizeH</vt:lpstr>
      <vt:lpstr>sample_commandReference!windowSizeH</vt:lpstr>
      <vt:lpstr>UPDATES!windowSizeH</vt:lpstr>
      <vt:lpstr>windowSizeH</vt:lpstr>
      <vt:lpstr>REPORT_RESULTS!windowSizeW</vt:lpstr>
      <vt:lpstr>sample_commandReference!windowSizeW</vt:lpstr>
      <vt:lpstr>UPDATES!windowSizeW</vt:lpstr>
      <vt:lpstr>windowSizeW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Sugiyama, Shinichi/杉山 真一</dc:creator>
  <cp:lastModifiedBy>Shinichi Sugiyama</cp:lastModifiedBy>
  <cp:lastPrinted>2016-12-17T04:39:22Z</cp:lastPrinted>
  <dcterms:created xsi:type="dcterms:W3CDTF">2016-12-07T07:53:01Z</dcterms:created>
  <dcterms:modified xsi:type="dcterms:W3CDTF">2017-01-08T16:29:19Z</dcterms:modified>
</cp:coreProperties>
</file>